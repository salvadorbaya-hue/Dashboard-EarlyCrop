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baya\Downloads\"/>
    </mc:Choice>
  </mc:AlternateContent>
  <bookViews>
    <workbookView xWindow="0" yWindow="0" windowWidth="23040" windowHeight="8496" tabRatio="706" firstSheet="1" activeTab="8"/>
  </bookViews>
  <sheets>
    <sheet name="Instrucciones" sheetId="1" r:id="rId1"/>
    <sheet name="Campos" sheetId="2" r:id="rId2"/>
    <sheet name="Arandano_2026" sheetId="3" r:id="rId3"/>
    <sheet name="Limon_2026" sheetId="4" r:id="rId4"/>
    <sheet name="Cana_2026" sheetId="5" r:id="rId5"/>
    <sheet name="Plantaciones" sheetId="6" r:id="rId6"/>
    <sheet name="Curvas_rinde" sheetId="7" r:id="rId7"/>
    <sheet name="Ingresos" sheetId="8" r:id="rId8"/>
    <sheet name="Proyeccion_com" sheetId="9" r:id="rId9"/>
    <sheet name="Kg_proyectados" sheetId="10" r:id="rId10"/>
  </sheets>
  <calcPr calcId="162913"/>
</workbook>
</file>

<file path=xl/calcChain.xml><?xml version="1.0" encoding="utf-8"?>
<calcChain xmlns="http://schemas.openxmlformats.org/spreadsheetml/2006/main">
  <c r="M17" i="9" l="1"/>
  <c r="L17" i="9"/>
  <c r="K17" i="9"/>
  <c r="J17" i="9"/>
  <c r="I17" i="9"/>
  <c r="H17" i="9"/>
  <c r="G17" i="9"/>
  <c r="F17" i="9"/>
  <c r="E17" i="9"/>
  <c r="D17" i="9"/>
  <c r="M16" i="9"/>
  <c r="L16" i="9"/>
  <c r="K16" i="9"/>
  <c r="J16" i="9"/>
  <c r="I16" i="9"/>
  <c r="H16" i="9"/>
  <c r="G16" i="9"/>
  <c r="F16" i="9"/>
  <c r="E16" i="9"/>
  <c r="D16" i="9"/>
  <c r="C17" i="9"/>
  <c r="C16" i="9"/>
  <c r="L13" i="10"/>
  <c r="K13" i="10"/>
  <c r="J13" i="10"/>
  <c r="I13" i="10"/>
  <c r="H13" i="10"/>
  <c r="G13" i="10"/>
  <c r="F13" i="10"/>
  <c r="E13" i="10"/>
  <c r="D13" i="10"/>
  <c r="C13" i="10"/>
  <c r="B13" i="10"/>
  <c r="L11" i="10"/>
  <c r="K11" i="10"/>
  <c r="J11" i="10"/>
  <c r="I11" i="10"/>
  <c r="H11" i="10"/>
  <c r="G11" i="10"/>
  <c r="F11" i="10"/>
  <c r="E11" i="10"/>
  <c r="D11" i="10"/>
  <c r="C11" i="10"/>
  <c r="I19" i="8"/>
  <c r="I18" i="8"/>
  <c r="I17" i="8"/>
  <c r="I16" i="8"/>
  <c r="I15" i="8"/>
  <c r="I14" i="8"/>
  <c r="I13" i="8"/>
  <c r="I12" i="8"/>
  <c r="I9" i="8"/>
  <c r="I8" i="8"/>
  <c r="I7" i="8"/>
  <c r="I6" i="8"/>
  <c r="I5" i="8"/>
  <c r="I4" i="8"/>
  <c r="I3" i="8"/>
  <c r="I2" i="8"/>
  <c r="F5" i="4"/>
  <c r="F4" i="4"/>
  <c r="F3" i="4"/>
  <c r="F2" i="4"/>
  <c r="D5" i="4"/>
  <c r="D4" i="4"/>
  <c r="D3" i="4"/>
  <c r="H16" i="10" s="1"/>
  <c r="D2" i="4"/>
  <c r="F6" i="3"/>
  <c r="F5" i="3"/>
  <c r="F4" i="3"/>
  <c r="F3" i="3"/>
  <c r="F2" i="3"/>
  <c r="D6" i="3"/>
  <c r="D5" i="3"/>
  <c r="D4" i="3"/>
  <c r="D3" i="3"/>
  <c r="D2" i="3"/>
  <c r="L18" i="10"/>
  <c r="K18" i="10"/>
  <c r="J18" i="10"/>
  <c r="I18" i="10"/>
  <c r="H18" i="10"/>
  <c r="G18" i="10"/>
  <c r="F18" i="10"/>
  <c r="E18" i="10"/>
  <c r="D18" i="10"/>
  <c r="C18" i="10"/>
  <c r="B18" i="10"/>
  <c r="L17" i="10"/>
  <c r="K17" i="10"/>
  <c r="J17" i="10"/>
  <c r="I17" i="10"/>
  <c r="H17" i="10"/>
  <c r="G17" i="10"/>
  <c r="F17" i="10"/>
  <c r="E17" i="10"/>
  <c r="B17" i="10"/>
  <c r="L16" i="10"/>
  <c r="K16" i="10"/>
  <c r="I16" i="10"/>
  <c r="F16" i="10"/>
  <c r="D16" i="10"/>
  <c r="D19" i="10" s="1"/>
  <c r="C16" i="10"/>
  <c r="B16" i="10"/>
  <c r="L15" i="10"/>
  <c r="K15" i="10"/>
  <c r="J15" i="10"/>
  <c r="I15" i="10"/>
  <c r="H15" i="10"/>
  <c r="G15" i="10"/>
  <c r="F15" i="10"/>
  <c r="B15" i="10"/>
  <c r="B11" i="10"/>
  <c r="L10" i="10"/>
  <c r="K10" i="10"/>
  <c r="J10" i="10"/>
  <c r="I10" i="10"/>
  <c r="H10" i="10"/>
  <c r="G10" i="10"/>
  <c r="F10" i="10"/>
  <c r="E10" i="10"/>
  <c r="D10" i="10"/>
  <c r="C10" i="10"/>
  <c r="B10" i="10"/>
  <c r="L9" i="10"/>
  <c r="K9" i="10"/>
  <c r="J9" i="10"/>
  <c r="I9" i="10"/>
  <c r="H9" i="10"/>
  <c r="G9" i="10"/>
  <c r="F9" i="10"/>
  <c r="E9" i="10"/>
  <c r="D9" i="10"/>
  <c r="C9" i="10"/>
  <c r="B9" i="10"/>
  <c r="L8" i="10"/>
  <c r="K8" i="10"/>
  <c r="J8" i="10"/>
  <c r="I8" i="10"/>
  <c r="H8" i="10"/>
  <c r="G8" i="10"/>
  <c r="F8" i="10"/>
  <c r="E8" i="10"/>
  <c r="D8" i="10"/>
  <c r="C8" i="10"/>
  <c r="B8" i="10"/>
  <c r="L7" i="10"/>
  <c r="K7" i="10"/>
  <c r="J7" i="10"/>
  <c r="I7" i="10"/>
  <c r="H7" i="10"/>
  <c r="G7" i="10"/>
  <c r="F7" i="10"/>
  <c r="E7" i="10"/>
  <c r="D7" i="10"/>
  <c r="C7" i="10"/>
  <c r="B7" i="10"/>
  <c r="L6" i="10"/>
  <c r="K6" i="10"/>
  <c r="J6" i="10"/>
  <c r="I6" i="10"/>
  <c r="H6" i="10"/>
  <c r="G6" i="10"/>
  <c r="F6" i="10"/>
  <c r="E6" i="10"/>
  <c r="D6" i="10"/>
  <c r="C6" i="10"/>
  <c r="B6" i="10"/>
  <c r="M25" i="9"/>
  <c r="L25" i="9"/>
  <c r="K25" i="9"/>
  <c r="J25" i="9"/>
  <c r="I25" i="9"/>
  <c r="H25" i="9"/>
  <c r="G25" i="9"/>
  <c r="F25" i="9"/>
  <c r="E25" i="9"/>
  <c r="D25" i="9"/>
  <c r="C25" i="9"/>
  <c r="M24" i="9"/>
  <c r="L24" i="9"/>
  <c r="K24" i="9"/>
  <c r="J24" i="9"/>
  <c r="I24" i="9"/>
  <c r="H24" i="9"/>
  <c r="G24" i="9"/>
  <c r="F24" i="9"/>
  <c r="E24" i="9"/>
  <c r="D24" i="9"/>
  <c r="C24" i="9"/>
  <c r="M19" i="9"/>
  <c r="L19" i="9"/>
  <c r="K19" i="9"/>
  <c r="J19" i="9"/>
  <c r="I19" i="9"/>
  <c r="H19" i="9"/>
  <c r="G19" i="9"/>
  <c r="F19" i="9"/>
  <c r="E19" i="9"/>
  <c r="D19" i="9"/>
  <c r="C19" i="9"/>
  <c r="M18" i="9"/>
  <c r="L18" i="9"/>
  <c r="K18" i="9"/>
  <c r="J18" i="9"/>
  <c r="I18" i="9"/>
  <c r="H18" i="9"/>
  <c r="G18" i="9"/>
  <c r="F18" i="9"/>
  <c r="E18" i="9"/>
  <c r="D18" i="9"/>
  <c r="C18" i="9"/>
  <c r="I20" i="8"/>
  <c r="I10" i="8"/>
  <c r="D2" i="5"/>
  <c r="F2" i="5" s="1"/>
  <c r="B19" i="10" l="1"/>
  <c r="B20" i="10" s="1"/>
  <c r="D20" i="10"/>
  <c r="J16" i="10"/>
  <c r="J19" i="10" s="1"/>
  <c r="F19" i="10"/>
  <c r="H19" i="10"/>
  <c r="E16" i="10"/>
  <c r="E19" i="10" s="1"/>
  <c r="I19" i="10"/>
  <c r="G16" i="10"/>
  <c r="G19" i="10" s="1"/>
  <c r="C19" i="10"/>
  <c r="K19" i="10"/>
  <c r="L19" i="10"/>
  <c r="I12" i="10"/>
  <c r="J20" i="9" s="1"/>
  <c r="J12" i="10"/>
  <c r="K20" i="9" s="1"/>
  <c r="B12" i="10"/>
  <c r="C20" i="9" s="1"/>
  <c r="G12" i="10"/>
  <c r="H20" i="9" s="1"/>
  <c r="C12" i="10"/>
  <c r="D20" i="9" s="1"/>
  <c r="K12" i="10"/>
  <c r="L20" i="9" s="1"/>
  <c r="H12" i="10"/>
  <c r="I20" i="9" s="1"/>
  <c r="D12" i="10"/>
  <c r="E20" i="9" s="1"/>
  <c r="L12" i="10"/>
  <c r="M20" i="9" s="1"/>
  <c r="E12" i="10"/>
  <c r="F20" i="9" s="1"/>
  <c r="F12" i="10"/>
  <c r="G20" i="9" s="1"/>
  <c r="H20" i="10" l="1"/>
  <c r="J20" i="10"/>
  <c r="K20" i="10"/>
  <c r="E23" i="9"/>
  <c r="E22" i="9"/>
  <c r="F20" i="10"/>
  <c r="L20" i="10"/>
  <c r="G20" i="10"/>
  <c r="I20" i="10"/>
  <c r="C23" i="9"/>
  <c r="C22" i="9"/>
  <c r="C26" i="9" s="1"/>
  <c r="C33" i="9"/>
  <c r="E20" i="10"/>
  <c r="C20" i="10"/>
  <c r="M23" i="9" l="1"/>
  <c r="M22" i="9"/>
  <c r="M26" i="9" s="1"/>
  <c r="M33" i="9" s="1"/>
  <c r="K23" i="9"/>
  <c r="K22" i="9"/>
  <c r="K26" i="9" s="1"/>
  <c r="K33" i="9" s="1"/>
  <c r="G22" i="9"/>
  <c r="G23" i="9"/>
  <c r="J23" i="9"/>
  <c r="J22" i="9"/>
  <c r="J26" i="9" s="1"/>
  <c r="J33" i="9" s="1"/>
  <c r="I23" i="9"/>
  <c r="I22" i="9"/>
  <c r="I26" i="9" s="1"/>
  <c r="I33" i="9" s="1"/>
  <c r="D23" i="9"/>
  <c r="D22" i="9"/>
  <c r="E26" i="9"/>
  <c r="E33" i="9" s="1"/>
  <c r="F22" i="9"/>
  <c r="F23" i="9"/>
  <c r="H23" i="9"/>
  <c r="H22" i="9"/>
  <c r="L23" i="9"/>
  <c r="L22" i="9"/>
  <c r="L26" i="9" s="1"/>
  <c r="L33" i="9" s="1"/>
  <c r="G26" i="9" l="1"/>
  <c r="G33" i="9" s="1"/>
  <c r="F26" i="9"/>
  <c r="F33" i="9" s="1"/>
  <c r="D26" i="9"/>
  <c r="D33" i="9" s="1"/>
  <c r="H26" i="9"/>
  <c r="H33" i="9" s="1"/>
</calcChain>
</file>

<file path=xl/sharedStrings.xml><?xml version="1.0" encoding="utf-8"?>
<sst xmlns="http://schemas.openxmlformats.org/spreadsheetml/2006/main" count="456" uniqueCount="185">
  <si>
    <t>Panel Early Crop - Archivo de carga de datos</t>
  </si>
  <si>
    <t>Este archivo alimenta el panel de campos. Esta estructurado en hojas:</t>
  </si>
  <si>
    <t>• Campos - Catalogo maestro. Se edita cuando se agrega o modifica un campo.</t>
  </si>
  <si>
    <t>• Arandano YYYY - Datos productivos y economicos del arandano por temporada.</t>
  </si>
  <si>
    <t>• Limon YYYY - Idem limon.</t>
  </si>
  <si>
    <t>• Cana YYYY - Idem cana de azucar.</t>
  </si>
  <si>
    <t>Como agregar una nueva temporada:</t>
  </si>
  <si>
    <t xml:space="preserve">  1. Duplicar la hoja de la temporada anterior del cultivo.</t>
  </si>
  <si>
    <t xml:space="preserve">  2. Cambiar el nombre a "CULTIVO YYYY" (ej. "Arandano 2027").</t>
  </si>
  <si>
    <t xml:space="preserve">  3. Actualizar la columna "temporada" a YYYY.</t>
  </si>
  <si>
    <t xml:space="preserve">  4. Cargar los valores reales de la nueva temporada.</t>
  </si>
  <si>
    <t>Como agregar un campo nuevo:</t>
  </si>
  <si>
    <t xml:space="preserve">  1. Agregar fila en la hoja Campos con un id nuevo (ej. AR06).</t>
  </si>
  <si>
    <t xml:space="preserve">  2. Agregar fila en la hoja de temporada del cultivo correspondiente.</t>
  </si>
  <si>
    <t>Convenciones:</t>
  </si>
  <si>
    <t xml:space="preserve">  • Valores monetarios en dolares (USD).</t>
  </si>
  <si>
    <t xml:space="preserve">  • kg_totales es INPUT (cargar manualmente). kg_ha se calcula automaticamente (kg_totales / hectareas).</t>
  </si>
  <si>
    <t xml:space="preserve">  • Porcentajes de variedades deben sumar 100% por campo.</t>
  </si>
  <si>
    <t xml:space="preserve">  • Celdas en azul son inputs (se cargan manualmente).</t>
  </si>
  <si>
    <t xml:space="preserve">  • IDs de campo tienen prefijo por cultivo: AR = arandano, LM = limon, CA = cana.</t>
  </si>
  <si>
    <t xml:space="preserve">  • No usar tildes ni caracteres especiales en nombres de hojas.</t>
  </si>
  <si>
    <t>Validaciones activas:</t>
  </si>
  <si>
    <t xml:space="preserve">  • En Campos: cultivo (arandano/limon/cana) y entidad (PDJ/Fruit Crop/Greenpack).</t>
  </si>
  <si>
    <t xml:space="preserve">  • En hojas de temporada: id_campo se valida contra la hoja Campos.</t>
  </si>
  <si>
    <t>─── Plantación ───</t>
  </si>
  <si>
    <t>• Plantaciones — Programa de plantación/recambio por campo y año.</t>
  </si>
  <si>
    <t xml:space="preserve">  Cada fila es un bloque plantado en un año determinado.</t>
  </si>
  <si>
    <t xml:space="preserve">  tipo: nueva (ha netas agregadas) o recambio (reemplazo de variedad).</t>
  </si>
  <si>
    <t xml:space="preserve">  variedad: "por definir" si aún no hay decisión; opciones: Tafi, Slender, Naike, Moya, Pampa.</t>
  </si>
  <si>
    <t>• Curvas_rinde — kg/ha por año desde la plantación para cada variedad.</t>
  </si>
  <si>
    <t xml:space="preserve">  Año 1-2 = 0 (crecimiento).</t>
  </si>
  <si>
    <t xml:space="preserve">  Año 3 = primera cosecha chica.</t>
  </si>
  <si>
    <t xml:space="preserve">  Año 4 en adelante = pico productivo y declive posterior.</t>
  </si>
  <si>
    <t xml:space="preserve">  Editar aquí para ajustar la proyección del panel.</t>
  </si>
  <si>
    <t>HOJAS COMERCIALES</t>
  </si>
  <si>
    <t xml:space="preserve">  • Ingresos — Histórico de facturación real por cultivo, canal y mercado.</t>
  </si>
  <si>
    <t xml:space="preserve">  • Proyeccion_com — Parámetros FOB: % fresco, kg terceros, precios por año.</t>
  </si>
  <si>
    <t>id_campo</t>
  </si>
  <si>
    <t>cultivo</t>
  </si>
  <si>
    <t>nombre</t>
  </si>
  <si>
    <t>entidad</t>
  </si>
  <si>
    <t>agronomo</t>
  </si>
  <si>
    <t>hectareas</t>
  </si>
  <si>
    <t>AR01</t>
  </si>
  <si>
    <t>arandano</t>
  </si>
  <si>
    <t>PDJ Sgto. Moya</t>
  </si>
  <si>
    <t>PDJ</t>
  </si>
  <si>
    <t>Carlino</t>
  </si>
  <si>
    <t>AR02</t>
  </si>
  <si>
    <t>La Loma</t>
  </si>
  <si>
    <t>Fruit Crop</t>
  </si>
  <si>
    <t>AR03</t>
  </si>
  <si>
    <t>La Angostura</t>
  </si>
  <si>
    <t>AR04</t>
  </si>
  <si>
    <t>El Molino</t>
  </si>
  <si>
    <t>AR05</t>
  </si>
  <si>
    <t>Palma Sola</t>
  </si>
  <si>
    <t>Modernel</t>
  </si>
  <si>
    <t>AR06</t>
  </si>
  <si>
    <t>Orlando</t>
  </si>
  <si>
    <t>LM01</t>
  </si>
  <si>
    <t>limon</t>
  </si>
  <si>
    <t>Yaquilo</t>
  </si>
  <si>
    <t>Casadei</t>
  </si>
  <si>
    <t>LM02</t>
  </si>
  <si>
    <t>Casanova</t>
  </si>
  <si>
    <t>LM03</t>
  </si>
  <si>
    <t>Tajamar</t>
  </si>
  <si>
    <t>Greenpack</t>
  </si>
  <si>
    <t>LM04</t>
  </si>
  <si>
    <t>Monte Grande</t>
  </si>
  <si>
    <t>CA01</t>
  </si>
  <si>
    <t>cana</t>
  </si>
  <si>
    <t>Cana de Azucar</t>
  </si>
  <si>
    <t>temporada</t>
  </si>
  <si>
    <t>kg_totales</t>
  </si>
  <si>
    <t>kg_ha</t>
  </si>
  <si>
    <t>costo_ha_usd</t>
  </si>
  <si>
    <t>ingreso_ha_usd</t>
  </si>
  <si>
    <t>precio_kg_usd</t>
  </si>
  <si>
    <t>plantas_ha</t>
  </si>
  <si>
    <t>edad_plantacion</t>
  </si>
  <si>
    <t>variedad_1_nombre</t>
  </si>
  <si>
    <t>variedad_1_pct</t>
  </si>
  <si>
    <t>variedad_2_nombre</t>
  </si>
  <si>
    <t>variedad_2_pct</t>
  </si>
  <si>
    <t>variedad_3_nombre</t>
  </si>
  <si>
    <t>variedad_3_pct</t>
  </si>
  <si>
    <t>variedad_4_nombre</t>
  </si>
  <si>
    <t>variedad_4_pct</t>
  </si>
  <si>
    <t>variedad_5_nombre</t>
  </si>
  <si>
    <t>variedad_5_pct</t>
  </si>
  <si>
    <t>variedad_6_nombre</t>
  </si>
  <si>
    <t>variedad_6_pct</t>
  </si>
  <si>
    <t>Emerald</t>
  </si>
  <si>
    <t>Slender</t>
  </si>
  <si>
    <t>Biloxi</t>
  </si>
  <si>
    <t>Tafi</t>
  </si>
  <si>
    <t>Snowchaser</t>
  </si>
  <si>
    <t>Naike</t>
  </si>
  <si>
    <t>Eureka</t>
  </si>
  <si>
    <t>Genova</t>
  </si>
  <si>
    <t>Lisbon</t>
  </si>
  <si>
    <t>año</t>
  </si>
  <si>
    <t>tipo</t>
  </si>
  <si>
    <t>variedad</t>
  </si>
  <si>
    <t>pct_variedad</t>
  </si>
  <si>
    <t>nueva</t>
  </si>
  <si>
    <t>por definir</t>
  </si>
  <si>
    <t>recambio</t>
  </si>
  <si>
    <t>año_1</t>
  </si>
  <si>
    <t>año_2</t>
  </si>
  <si>
    <t>año_3</t>
  </si>
  <si>
    <t>año_4</t>
  </si>
  <si>
    <t>año_5</t>
  </si>
  <si>
    <t>año_6</t>
  </si>
  <si>
    <t>año_7</t>
  </si>
  <si>
    <t>año_8</t>
  </si>
  <si>
    <t>año_9</t>
  </si>
  <si>
    <t>año_10</t>
  </si>
  <si>
    <t>año_11</t>
  </si>
  <si>
    <t>año_12</t>
  </si>
  <si>
    <t>año_13</t>
  </si>
  <si>
    <t>año_14</t>
  </si>
  <si>
    <t>año_15</t>
  </si>
  <si>
    <t>Moya</t>
  </si>
  <si>
    <t>Pampa</t>
  </si>
  <si>
    <t>canal</t>
  </si>
  <si>
    <t>mercado</t>
  </si>
  <si>
    <t>kg_miles</t>
  </si>
  <si>
    <t>ingreso_usd</t>
  </si>
  <si>
    <t>Early Crop</t>
  </si>
  <si>
    <t>exportacion</t>
  </si>
  <si>
    <t>industria</t>
  </si>
  <si>
    <t>Europa</t>
  </si>
  <si>
    <t>fresco</t>
  </si>
  <si>
    <t>mercado interno</t>
  </si>
  <si>
    <t>USA</t>
  </si>
  <si>
    <t>Europa UE</t>
  </si>
  <si>
    <t>Europa No-UE</t>
  </si>
  <si>
    <t>—</t>
  </si>
  <si>
    <t>empaque</t>
  </si>
  <si>
    <t>Panel Early Crop — Proyección de Ingresos Comerciales</t>
  </si>
  <si>
    <t>Ingreso = (kg propios × % canal + kg terceros) × precio FOB  |  USD</t>
  </si>
  <si>
    <t>🟡 Amarillo = editable      ⬜ Gris = calculado (no editar)</t>
  </si>
  <si>
    <t>PRECIOS FOB DE REFERENCIA — calculados desde hoja Ingresos (2026)</t>
  </si>
  <si>
    <t>Cultivo</t>
  </si>
  <si>
    <t>Canal</t>
  </si>
  <si>
    <t>kg totales</t>
  </si>
  <si>
    <t>Precio FOB (USD/kg)</t>
  </si>
  <si>
    <t>Arándano</t>
  </si>
  <si>
    <t>Fresco</t>
  </si>
  <si>
    <t>Industria</t>
  </si>
  <si>
    <t>Limón</t>
  </si>
  <si>
    <t>PARÁMETROS EDITABLES Y PROYECCIÓN DE INGRESOS</t>
  </si>
  <si>
    <t>Variable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</si>
  <si>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</si>
  <si>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</si>
  <si>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</si>
  <si>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</si>
  <si>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</si>
  <si>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</si>
  <si>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</si>
  <si>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</si>
  <si>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</si>
  <si>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</si>
  <si>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</si>
  <si>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% fresco vs industria</t>
  </si>
  <si>
    <t>kg terceros fresco</t>
  </si>
  <si>
    <t>kg terceros industria</t>
  </si>
  <si>
    <t>precio FOB fresco (USD/kg)</t>
  </si>
  <si>
    <t>precio FOB industria (USD/kg)</t>
  </si>
  <si>
    <t>→ INGRESO TOTAL (USD)</t>
  </si>
  <si>
    <t>Caña</t>
  </si>
  <si>
    <t>TOTAL</t>
  </si>
  <si>
    <t>Kg propios → hoja Kg_proyectados  |  Precios FOB → tabla de referencia superior  |  Solo editá celdas amarillas: % fresco/industria y kg terceros.</t>
  </si>
  <si>
    <t>Kg proyectados por campo y año — fórmulas desde Campos, Arandano_2026, Plantaciones y Curvas_rinde</t>
  </si>
  <si>
    <t>Recambios: se descuentan de plantas existentes y se suman como nuevas plantaciones (misma lógica que el dashboard).</t>
  </si>
  <si>
    <t>Campo</t>
  </si>
  <si>
    <t>— ARÁNDANO —</t>
  </si>
  <si>
    <t>Total Arándano</t>
  </si>
  <si>
    <t>— LIMÓN —</t>
  </si>
  <si>
    <t>Total Limón</t>
  </si>
  <si>
    <t>fruta terceros</t>
  </si>
  <si>
    <t>año_0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</si>
</sst>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"/>
    <numFmt numFmtId="165" formatCode="\$#,##0.00"/>
    <numFmt numFmtId="166" formatCode="\$#,##0.000"/>
    <numFmt numFmtId="167" formatCode="0.0%"/>
    <numFmt numFmtId="168" formatCode="\$#,##0"/>
    <numFmt numFmtId="169" formatCode="#,##0.000"/>
  </numFmts>
  <fonts count="25" x14ac:knownFonts="1">
    <font>
      <sz val="11"/>
      <color theme="1"/>
      <name val="Calibri"/>
      <family val="2"/>
      <scheme val="minor"/>
    </font>
    <font>
      <b/>
      <sz val="16"/>
      <color rgb="FF1F3A66"/>
      <name val="Calibri"/>
      <charset val="1"/>
    </font>
    <font>
      <sz val="11"/>
      <color rgb="FF333333"/>
      <name val="Calibri"/>
      <charset val="1"/>
    </font>
    <font>
      <b/>
      <sz val="10"/>
      <color rgb="FF0E1514"/>
      <name val="Calibri"/>
    </font>
    <font>
      <sz val="10"/>
      <color rgb="FF4A5654"/>
      <name val="Calibri"/>
    </font>
    <font>
      <b/>
      <sz val="11"/>
      <color rgb="FFFFFFFF"/>
      <name val="Calibri"/>
      <charset val="1"/>
    </font>
    <font>
      <sz val="11"/>
      <color rgb="FF0000FF"/>
      <name val="Calibri"/>
      <charset val="1"/>
    </font>
    <font>
      <sz val="11"/>
      <color rgb="FF0000FF"/>
      <name val="Calibri"/>
    </font>
    <font>
      <sz val="11"/>
      <color rgb="FF000000"/>
      <name val="Calibri"/>
      <charset val="1"/>
    </font>
    <font>
      <sz val="11"/>
      <color theme="1"/>
      <name val="Calibri"/>
      <family val="2"/>
      <charset val="1"/>
    </font>
    <font>
      <sz val="10"/>
      <color rgb="FF0E1514"/>
      <name val="Calibri"/>
    </font>
    <font>
      <sz val="10"/>
      <name val="Calibri"/>
    </font>
    <font>
      <b/>
      <sz val="12"/>
      <name val="Calibri"/>
    </font>
    <font>
      <i/>
      <sz val="9"/>
      <color rgb="FFC14A3E"/>
      <name val="Calibri"/>
    </font>
    <font>
      <b/>
      <sz val="10"/>
      <color rgb="FFFFFFFF"/>
      <name val="Calibri"/>
    </font>
    <font>
      <b/>
      <sz val="9"/>
      <color rgb="FF4338CA"/>
      <name val="Calibri"/>
    </font>
    <font>
      <b/>
      <sz val="9"/>
      <color rgb="FF3F6212"/>
      <name val="Calibri"/>
    </font>
    <font>
      <i/>
      <sz val="9"/>
      <color rgb="FF8A918F"/>
      <name val="Calibri"/>
    </font>
    <font>
      <sz val="9"/>
      <color rgb="FF4A5654"/>
      <name val="Calibri"/>
    </font>
    <font>
      <b/>
      <sz val="10"/>
      <color rgb="FF0F4A4C"/>
      <name val="Calibri"/>
    </font>
    <font>
      <sz val="10"/>
      <color rgb="FF8A918F"/>
      <name val="Calibri"/>
    </font>
    <font>
      <b/>
      <sz val="11"/>
      <color rgb="FFFFFFFF"/>
      <name val="Calibri"/>
    </font>
    <font>
      <sz val="10"/>
      <color rgb="FF0E1514"/>
      <name val="Calibri"/>
    </font>
    <font>
      <b/>
      <sz val="13"/>
      <color rgb="FF0E1514"/>
      <name val="Calibri"/>
    </font>
    <font>
      <i/>
      <sz val="10"/>
      <color rgb="FF555555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3A66"/>
        <bgColor rgb="FF333399"/>
      </patternFill>
    </fill>
    <fill>
      <patternFill patternType="solid">
        <fgColor rgb="FF4A6A9E"/>
        <bgColor rgb="FF3366FF"/>
      </patternFill>
    </fill>
    <fill>
      <patternFill patternType="solid">
        <fgColor rgb="FF1D7A7C"/>
      </patternFill>
    </fill>
    <fill>
      <patternFill patternType="solid">
        <fgColor rgb="FFEEF2FF"/>
      </patternFill>
    </fill>
    <fill>
      <patternFill patternType="solid">
        <fgColor rgb="FF4338CA"/>
      </patternFill>
    </fill>
    <fill>
      <patternFill patternType="solid">
        <fgColor rgb="FFF4FBE7"/>
      </patternFill>
    </fill>
    <fill>
      <patternFill patternType="solid">
        <fgColor rgb="FF3F6212"/>
      </patternFill>
    </fill>
    <fill>
      <patternFill patternType="solid">
        <fgColor rgb="FFFFFDE7"/>
      </patternFill>
    </fill>
    <fill>
      <patternFill patternType="solid">
        <fgColor rgb="FFE8F4F8"/>
      </patternFill>
    </fill>
    <fill>
      <patternFill patternType="solid">
        <fgColor rgb="FFFEF6E4"/>
      </patternFill>
    </fill>
    <fill>
      <patternFill patternType="solid">
        <fgColor rgb="FFECECEC"/>
      </patternFill>
    </fill>
    <fill>
      <patternFill patternType="solid">
        <fgColor rgb="FF0F4A4C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3" fontId="8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167" fontId="6" fillId="0" borderId="1" xfId="0" applyNumberFormat="1" applyFont="1" applyBorder="1" applyAlignment="1">
      <alignment horizontal="right" vertical="center"/>
    </xf>
    <xf numFmtId="9" fontId="6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168" fontId="9" fillId="0" borderId="0" xfId="0" applyNumberFormat="1" applyFont="1"/>
    <xf numFmtId="164" fontId="9" fillId="0" borderId="0" xfId="0" applyNumberFormat="1" applyFont="1"/>
    <xf numFmtId="0" fontId="6" fillId="0" borderId="1" xfId="0" applyFont="1" applyBorder="1" applyAlignment="1">
      <alignment horizontal="right" vertical="center"/>
    </xf>
    <xf numFmtId="168" fontId="6" fillId="0" borderId="1" xfId="0" applyNumberFormat="1" applyFont="1" applyBorder="1" applyAlignment="1">
      <alignment horizontal="right" vertical="center"/>
    </xf>
    <xf numFmtId="0" fontId="14" fillId="4" borderId="2" xfId="0" applyFont="1" applyFill="1" applyBorder="1" applyAlignment="1">
      <alignment horizontal="center" vertical="center"/>
    </xf>
    <xf numFmtId="0" fontId="15" fillId="5" borderId="0" xfId="0" applyFont="1" applyFill="1"/>
    <xf numFmtId="0" fontId="0" fillId="5" borderId="0" xfId="0" applyFill="1"/>
    <xf numFmtId="3" fontId="14" fillId="6" borderId="2" xfId="0" applyNumberFormat="1" applyFont="1" applyFill="1" applyBorder="1" applyAlignment="1">
      <alignment horizontal="right" vertical="center"/>
    </xf>
    <xf numFmtId="0" fontId="16" fillId="7" borderId="0" xfId="0" applyFont="1" applyFill="1"/>
    <xf numFmtId="0" fontId="0" fillId="7" borderId="0" xfId="0" applyFill="1"/>
    <xf numFmtId="3" fontId="14" fillId="8" borderId="2" xfId="0" applyNumberFormat="1" applyFont="1" applyFill="1" applyBorder="1" applyAlignment="1">
      <alignment horizontal="right" vertical="center"/>
    </xf>
    <xf numFmtId="167" fontId="11" fillId="9" borderId="2" xfId="0" applyNumberFormat="1" applyFont="1" applyFill="1" applyBorder="1" applyAlignment="1">
      <alignment horizontal="right" vertical="center"/>
    </xf>
    <xf numFmtId="3" fontId="11" fillId="9" borderId="2" xfId="0" applyNumberFormat="1" applyFont="1" applyFill="1" applyBorder="1" applyAlignment="1">
      <alignment horizontal="right" vertical="center"/>
    </xf>
    <xf numFmtId="3" fontId="19" fillId="10" borderId="2" xfId="0" applyNumberFormat="1" applyFont="1" applyFill="1" applyBorder="1" applyAlignment="1">
      <alignment horizontal="right" vertical="center"/>
    </xf>
    <xf numFmtId="3" fontId="20" fillId="12" borderId="2" xfId="0" applyNumberFormat="1" applyFont="1" applyFill="1" applyBorder="1" applyAlignment="1">
      <alignment horizontal="right" vertical="center"/>
    </xf>
    <xf numFmtId="3" fontId="21" fillId="13" borderId="2" xfId="0" applyNumberFormat="1" applyFont="1" applyFill="1" applyBorder="1" applyAlignment="1">
      <alignment horizontal="right" vertical="center"/>
    </xf>
    <xf numFmtId="3" fontId="22" fillId="5" borderId="2" xfId="0" applyNumberFormat="1" applyFont="1" applyFill="1" applyBorder="1" applyAlignment="1">
      <alignment horizontal="right" vertical="center"/>
    </xf>
    <xf numFmtId="0" fontId="14" fillId="6" borderId="2" xfId="0" applyFont="1" applyFill="1" applyBorder="1" applyAlignment="1">
      <alignment horizontal="left" vertical="center"/>
    </xf>
    <xf numFmtId="3" fontId="22" fillId="7" borderId="2" xfId="0" applyNumberFormat="1" applyFont="1" applyFill="1" applyBorder="1" applyAlignment="1">
      <alignment horizontal="right" vertical="center"/>
    </xf>
    <xf numFmtId="0" fontId="14" fillId="8" borderId="2" xfId="0" applyFont="1" applyFill="1" applyBorder="1" applyAlignment="1">
      <alignment horizontal="left" vertical="center"/>
    </xf>
    <xf numFmtId="169" fontId="19" fillId="12" borderId="2" xfId="0" applyNumberFormat="1" applyFont="1" applyFill="1" applyBorder="1" applyAlignment="1">
      <alignment horizontal="right" vertical="center"/>
    </xf>
    <xf numFmtId="0" fontId="22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3" fontId="22" fillId="12" borderId="2" xfId="0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169" fontId="24" fillId="12" borderId="2" xfId="0" applyNumberFormat="1" applyFont="1" applyFill="1" applyBorder="1" applyAlignment="1">
      <alignment horizontal="right" vertical="center"/>
    </xf>
    <xf numFmtId="0" fontId="19" fillId="10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left" vertical="center"/>
    </xf>
    <xf numFmtId="0" fontId="4" fillId="11" borderId="2" xfId="0" applyFont="1" applyFill="1" applyBorder="1" applyAlignment="1">
      <alignment horizontal="left" vertical="center"/>
    </xf>
    <xf numFmtId="0" fontId="22" fillId="11" borderId="2" xfId="0" applyFont="1" applyFill="1" applyBorder="1" applyAlignment="1">
      <alignment horizontal="left" vertical="center"/>
    </xf>
    <xf numFmtId="169" fontId="11" fillId="12" borderId="2" xfId="0" applyNumberFormat="1" applyFont="1" applyFill="1" applyBorder="1" applyAlignment="1">
      <alignment horizontal="right" vertical="center"/>
    </xf>
    <xf numFmtId="0" fontId="14" fillId="13" borderId="2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left" vertical="center"/>
    </xf>
    <xf numFmtId="0" fontId="1" fillId="0" borderId="0" xfId="0" applyFont="1"/>
    <xf numFmtId="0" fontId="0" fillId="0" borderId="0" xfId="0"/>
    <xf numFmtId="0" fontId="18" fillId="0" borderId="0" xfId="0" applyFont="1"/>
    <xf numFmtId="0" fontId="17" fillId="0" borderId="0" xfId="0" applyFont="1"/>
    <xf numFmtId="0" fontId="19" fillId="10" borderId="0" xfId="0" applyFont="1" applyFill="1"/>
    <xf numFmtId="0" fontId="23" fillId="0" borderId="0" xfId="0" applyFont="1"/>
    <xf numFmtId="0" fontId="13" fillId="0" borderId="0" xfId="0" applyFont="1"/>
    <xf numFmtId="0" fontId="12" fillId="0" borderId="0" xfId="0" applyFont="1"/>
    <xf numFmtId="3" fontId="0" fillId="0" borderId="0" xfId="0" applyNumberFormat="1"/>
    <xf numFmtId="0" fontId="10" fillId="7" borderId="3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sqref="A1:F1"/>
    </sheetView>
  </sheetViews>
  <sheetFormatPr baseColWidth="10" defaultColWidth="8.88671875" defaultRowHeight="14.4" x14ac:dyDescent="0.3"/>
  <cols>
    <col min="1" max="1" width="85" customWidth="1"/>
  </cols>
  <sheetData>
    <row r="1" spans="1:6" ht="21" customHeight="1" x14ac:dyDescent="0.4">
      <c r="A1" s="55" t="s">
        <v>0</v>
      </c>
      <c r="B1" s="56"/>
      <c r="C1" s="56"/>
      <c r="D1" s="56"/>
      <c r="E1" s="56"/>
      <c r="F1" s="56"/>
    </row>
    <row r="2" spans="1:6" ht="14.25" customHeight="1" x14ac:dyDescent="0.3">
      <c r="A2" s="1"/>
    </row>
    <row r="3" spans="1:6" ht="14.25" customHeight="1" x14ac:dyDescent="0.3">
      <c r="A3" s="1" t="s">
        <v>1</v>
      </c>
    </row>
    <row r="4" spans="1:6" ht="14.25" customHeight="1" x14ac:dyDescent="0.3">
      <c r="A4" s="1"/>
    </row>
    <row r="5" spans="1:6" ht="14.25" customHeight="1" x14ac:dyDescent="0.3">
      <c r="A5" s="1" t="s">
        <v>2</v>
      </c>
    </row>
    <row r="6" spans="1:6" ht="14.25" customHeight="1" x14ac:dyDescent="0.3">
      <c r="A6" s="1" t="s">
        <v>3</v>
      </c>
    </row>
    <row r="7" spans="1:6" ht="14.25" customHeight="1" x14ac:dyDescent="0.3">
      <c r="A7" s="1" t="s">
        <v>4</v>
      </c>
    </row>
    <row r="8" spans="1:6" ht="14.25" customHeight="1" x14ac:dyDescent="0.3">
      <c r="A8" s="1" t="s">
        <v>5</v>
      </c>
    </row>
    <row r="9" spans="1:6" ht="14.25" customHeight="1" x14ac:dyDescent="0.3">
      <c r="A9" s="1"/>
    </row>
    <row r="10" spans="1:6" ht="14.25" customHeight="1" x14ac:dyDescent="0.3">
      <c r="A10" s="1" t="s">
        <v>6</v>
      </c>
    </row>
    <row r="11" spans="1:6" ht="14.25" customHeight="1" x14ac:dyDescent="0.3">
      <c r="A11" s="1" t="s">
        <v>7</v>
      </c>
    </row>
    <row r="12" spans="1:6" ht="14.25" customHeight="1" x14ac:dyDescent="0.3">
      <c r="A12" s="1" t="s">
        <v>8</v>
      </c>
    </row>
    <row r="13" spans="1:6" ht="14.25" customHeight="1" x14ac:dyDescent="0.3">
      <c r="A13" s="1" t="s">
        <v>9</v>
      </c>
    </row>
    <row r="14" spans="1:6" ht="14.25" customHeight="1" x14ac:dyDescent="0.3">
      <c r="A14" s="1" t="s">
        <v>10</v>
      </c>
    </row>
    <row r="15" spans="1:6" ht="14.25" customHeight="1" x14ac:dyDescent="0.3">
      <c r="A15" s="1"/>
    </row>
    <row r="16" spans="1:6" ht="14.25" customHeight="1" x14ac:dyDescent="0.3">
      <c r="A16" s="1" t="s">
        <v>11</v>
      </c>
    </row>
    <row r="17" spans="1:1" ht="14.25" customHeight="1" x14ac:dyDescent="0.3">
      <c r="A17" s="1" t="s">
        <v>12</v>
      </c>
    </row>
    <row r="18" spans="1:1" ht="14.25" customHeight="1" x14ac:dyDescent="0.3">
      <c r="A18" s="1" t="s">
        <v>13</v>
      </c>
    </row>
    <row r="19" spans="1:1" ht="14.25" customHeight="1" x14ac:dyDescent="0.3">
      <c r="A19" s="1"/>
    </row>
    <row r="20" spans="1:1" ht="14.25" customHeight="1" x14ac:dyDescent="0.3">
      <c r="A20" s="1" t="s">
        <v>14</v>
      </c>
    </row>
    <row r="21" spans="1:1" ht="14.25" customHeight="1" x14ac:dyDescent="0.3">
      <c r="A21" s="1" t="s">
        <v>15</v>
      </c>
    </row>
    <row r="22" spans="1:1" ht="14.25" customHeight="1" x14ac:dyDescent="0.3">
      <c r="A22" s="1" t="s">
        <v>16</v>
      </c>
    </row>
    <row r="23" spans="1:1" ht="14.25" customHeight="1" x14ac:dyDescent="0.3">
      <c r="A23" s="1" t="s">
        <v>17</v>
      </c>
    </row>
    <row r="24" spans="1:1" ht="14.25" customHeight="1" x14ac:dyDescent="0.3">
      <c r="A24" s="1" t="s">
        <v>18</v>
      </c>
    </row>
    <row r="25" spans="1:1" ht="14.25" customHeight="1" x14ac:dyDescent="0.3">
      <c r="A25" s="1" t="s">
        <v>19</v>
      </c>
    </row>
    <row r="26" spans="1:1" ht="14.25" customHeight="1" x14ac:dyDescent="0.3">
      <c r="A26" s="1" t="s">
        <v>20</v>
      </c>
    </row>
    <row r="27" spans="1:1" ht="14.25" customHeight="1" x14ac:dyDescent="0.3">
      <c r="A27" s="1"/>
    </row>
    <row r="28" spans="1:1" ht="14.25" customHeight="1" x14ac:dyDescent="0.3">
      <c r="A28" s="1" t="s">
        <v>21</v>
      </c>
    </row>
    <row r="29" spans="1:1" ht="14.25" customHeight="1" x14ac:dyDescent="0.3">
      <c r="A29" s="1" t="s">
        <v>22</v>
      </c>
    </row>
    <row r="30" spans="1:1" ht="14.25" customHeight="1" x14ac:dyDescent="0.3">
      <c r="A30" s="1" t="s">
        <v>23</v>
      </c>
    </row>
    <row r="31" spans="1:1" ht="14.25" customHeight="1" x14ac:dyDescent="0.3">
      <c r="A31" s="1"/>
    </row>
    <row r="32" spans="1:1" ht="14.25" customHeight="1" x14ac:dyDescent="0.3">
      <c r="A32" s="1" t="s">
        <v>24</v>
      </c>
    </row>
    <row r="33" spans="1:1" ht="14.25" customHeight="1" x14ac:dyDescent="0.3">
      <c r="A33" s="1"/>
    </row>
    <row r="34" spans="1:1" ht="14.25" customHeight="1" x14ac:dyDescent="0.3">
      <c r="A34" s="1" t="s">
        <v>25</v>
      </c>
    </row>
    <row r="35" spans="1:1" ht="14.25" customHeight="1" x14ac:dyDescent="0.3">
      <c r="A35" s="1" t="s">
        <v>26</v>
      </c>
    </row>
    <row r="36" spans="1:1" ht="14.25" customHeight="1" x14ac:dyDescent="0.3">
      <c r="A36" s="1" t="s">
        <v>27</v>
      </c>
    </row>
    <row r="37" spans="1:1" ht="14.25" customHeight="1" x14ac:dyDescent="0.3">
      <c r="A37" s="1" t="s">
        <v>28</v>
      </c>
    </row>
    <row r="38" spans="1:1" ht="14.25" customHeight="1" x14ac:dyDescent="0.3">
      <c r="A38" s="1"/>
    </row>
    <row r="39" spans="1:1" ht="14.25" customHeight="1" x14ac:dyDescent="0.3">
      <c r="A39" s="1" t="s">
        <v>29</v>
      </c>
    </row>
    <row r="40" spans="1:1" ht="14.25" customHeight="1" x14ac:dyDescent="0.3">
      <c r="A40" s="1" t="s">
        <v>30</v>
      </c>
    </row>
    <row r="41" spans="1:1" ht="14.25" customHeight="1" x14ac:dyDescent="0.3">
      <c r="A41" s="1" t="s">
        <v>31</v>
      </c>
    </row>
    <row r="42" spans="1:1" ht="14.25" customHeight="1" x14ac:dyDescent="0.3">
      <c r="A42" s="1" t="s">
        <v>32</v>
      </c>
    </row>
    <row r="43" spans="1:1" ht="14.25" customHeight="1" x14ac:dyDescent="0.3">
      <c r="A43" s="1" t="s">
        <v>33</v>
      </c>
    </row>
    <row r="45" spans="1:1" x14ac:dyDescent="0.3">
      <c r="A45" s="2" t="s">
        <v>34</v>
      </c>
    </row>
    <row r="46" spans="1:1" x14ac:dyDescent="0.3">
      <c r="A46" s="3" t="s">
        <v>35</v>
      </c>
    </row>
    <row r="47" spans="1:1" x14ac:dyDescent="0.3">
      <c r="A47" s="3" t="s">
        <v>36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 activeCell="C7" sqref="C7"/>
    </sheetView>
  </sheetViews>
  <sheetFormatPr baseColWidth="10" defaultColWidth="8.88671875" defaultRowHeight="14.4" x14ac:dyDescent="0.3"/>
  <cols>
    <col min="1" max="1" width="12" customWidth="1"/>
    <col min="3" max="3" width="24" customWidth="1"/>
    <col min="4" max="4" width="14" customWidth="1"/>
    <col min="6" max="6" width="12" customWidth="1"/>
  </cols>
  <sheetData>
    <row r="1" spans="1:6" ht="14.25" customHeight="1" x14ac:dyDescent="0.3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</row>
    <row r="2" spans="1:6" ht="14.25" customHeight="1" x14ac:dyDescent="0.3">
      <c r="A2" s="5" t="s">
        <v>43</v>
      </c>
      <c r="B2" s="5" t="s">
        <v>44</v>
      </c>
      <c r="C2" s="5" t="s">
        <v>45</v>
      </c>
      <c r="D2" s="5" t="s">
        <v>46</v>
      </c>
      <c r="E2" s="5" t="s">
        <v>47</v>
      </c>
      <c r="F2" s="6">
        <v>77.5</v>
      </c>
    </row>
    <row r="3" spans="1:6" ht="14.25" customHeight="1" x14ac:dyDescent="0.3">
      <c r="A3" s="5" t="s">
        <v>48</v>
      </c>
      <c r="B3" s="5" t="s">
        <v>44</v>
      </c>
      <c r="C3" s="5" t="s">
        <v>49</v>
      </c>
      <c r="D3" s="5" t="s">
        <v>50</v>
      </c>
      <c r="E3" s="5" t="s">
        <v>47</v>
      </c>
      <c r="F3" s="6">
        <v>42</v>
      </c>
    </row>
    <row r="4" spans="1:6" ht="14.25" customHeight="1" x14ac:dyDescent="0.3">
      <c r="A4" s="5" t="s">
        <v>51</v>
      </c>
      <c r="B4" s="5" t="s">
        <v>44</v>
      </c>
      <c r="C4" s="5" t="s">
        <v>52</v>
      </c>
      <c r="D4" s="5" t="s">
        <v>50</v>
      </c>
      <c r="E4" s="5" t="s">
        <v>47</v>
      </c>
      <c r="F4" s="6">
        <v>21.8</v>
      </c>
    </row>
    <row r="5" spans="1:6" ht="14.25" customHeight="1" x14ac:dyDescent="0.3">
      <c r="A5" s="5" t="s">
        <v>53</v>
      </c>
      <c r="B5" s="5" t="s">
        <v>44</v>
      </c>
      <c r="C5" s="5" t="s">
        <v>54</v>
      </c>
      <c r="D5" s="5" t="s">
        <v>50</v>
      </c>
      <c r="E5" s="5" t="s">
        <v>47</v>
      </c>
      <c r="F5" s="6">
        <v>20</v>
      </c>
    </row>
    <row r="6" spans="1:6" ht="14.25" customHeight="1" x14ac:dyDescent="0.3">
      <c r="A6" s="5" t="s">
        <v>55</v>
      </c>
      <c r="B6" s="5" t="s">
        <v>44</v>
      </c>
      <c r="C6" s="5" t="s">
        <v>56</v>
      </c>
      <c r="D6" s="5" t="s">
        <v>50</v>
      </c>
      <c r="E6" s="5" t="s">
        <v>57</v>
      </c>
      <c r="F6" s="6">
        <v>19.8</v>
      </c>
    </row>
    <row r="7" spans="1:6" ht="14.25" customHeight="1" x14ac:dyDescent="0.3">
      <c r="A7" s="7" t="s">
        <v>58</v>
      </c>
      <c r="B7" s="7" t="s">
        <v>44</v>
      </c>
      <c r="C7" s="7" t="s">
        <v>59</v>
      </c>
      <c r="D7" s="7" t="s">
        <v>46</v>
      </c>
      <c r="E7" s="7" t="s">
        <v>47</v>
      </c>
      <c r="F7" s="8">
        <v>0</v>
      </c>
    </row>
    <row r="8" spans="1:6" ht="14.25" customHeight="1" x14ac:dyDescent="0.3">
      <c r="A8" s="5" t="s">
        <v>60</v>
      </c>
      <c r="B8" s="5" t="s">
        <v>61</v>
      </c>
      <c r="C8" s="5" t="s">
        <v>62</v>
      </c>
      <c r="D8" s="5" t="s">
        <v>50</v>
      </c>
      <c r="E8" s="5" t="s">
        <v>63</v>
      </c>
      <c r="F8" s="6">
        <v>140</v>
      </c>
    </row>
    <row r="9" spans="1:6" ht="14.25" customHeight="1" x14ac:dyDescent="0.3">
      <c r="A9" s="5" t="s">
        <v>64</v>
      </c>
      <c r="B9" s="5" t="s">
        <v>61</v>
      </c>
      <c r="C9" s="5" t="s">
        <v>65</v>
      </c>
      <c r="D9" s="5" t="s">
        <v>50</v>
      </c>
      <c r="E9" s="5" t="s">
        <v>63</v>
      </c>
      <c r="F9" s="6">
        <v>40</v>
      </c>
    </row>
    <row r="10" spans="1:6" ht="14.25" customHeight="1" x14ac:dyDescent="0.3">
      <c r="A10" s="5" t="s">
        <v>66</v>
      </c>
      <c r="B10" s="5" t="s">
        <v>61</v>
      </c>
      <c r="C10" s="5" t="s">
        <v>67</v>
      </c>
      <c r="D10" s="5" t="s">
        <v>68</v>
      </c>
      <c r="E10" s="5" t="s">
        <v>63</v>
      </c>
      <c r="F10" s="6">
        <v>130</v>
      </c>
    </row>
    <row r="11" spans="1:6" ht="14.25" customHeight="1" x14ac:dyDescent="0.3">
      <c r="A11" s="5" t="s">
        <v>69</v>
      </c>
      <c r="B11" s="5" t="s">
        <v>61</v>
      </c>
      <c r="C11" s="5" t="s">
        <v>70</v>
      </c>
      <c r="D11" s="5" t="s">
        <v>68</v>
      </c>
      <c r="E11" s="5" t="s">
        <v>63</v>
      </c>
      <c r="F11" s="6">
        <v>45</v>
      </c>
    </row>
    <row r="12" spans="1:6" ht="14.25" customHeight="1" x14ac:dyDescent="0.3">
      <c r="A12" s="5" t="s">
        <v>71</v>
      </c>
      <c r="B12" s="5" t="s">
        <v>72</v>
      </c>
      <c r="C12" s="5" t="s">
        <v>73</v>
      </c>
      <c r="D12" s="5" t="s">
        <v>68</v>
      </c>
      <c r="E12" s="5" t="s">
        <v>63</v>
      </c>
      <c r="F12" s="6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pane ySplit="1" topLeftCell="A2" activePane="bottomLeft" state="frozen"/>
      <selection pane="bottomLeft" activeCell="F3" sqref="F3:F6"/>
    </sheetView>
  </sheetViews>
  <sheetFormatPr baseColWidth="10" defaultColWidth="8.88671875" defaultRowHeight="14.4" x14ac:dyDescent="0.3"/>
  <cols>
    <col min="1" max="1" width="12" customWidth="1"/>
    <col min="2" max="2" width="11" customWidth="1"/>
    <col min="5" max="5" width="12.6640625" customWidth="1"/>
    <col min="6" max="6" width="14.21875" customWidth="1"/>
    <col min="7" max="7" width="13.21875" customWidth="1"/>
    <col min="8" max="8" width="16" customWidth="1"/>
    <col min="9" max="9" width="18.109375" customWidth="1"/>
    <col min="10" max="10" width="14" customWidth="1"/>
    <col min="11" max="11" width="17" customWidth="1"/>
    <col min="12" max="12" width="14" customWidth="1"/>
    <col min="13" max="13" width="17" customWidth="1"/>
    <col min="14" max="14" width="10" customWidth="1"/>
    <col min="15" max="15" width="17" customWidth="1"/>
    <col min="16" max="16" width="10" customWidth="1"/>
    <col min="17" max="17" width="17" customWidth="1"/>
    <col min="18" max="18" width="10" customWidth="1"/>
    <col min="19" max="19" width="17" customWidth="1"/>
    <col min="20" max="20" width="10" customWidth="1"/>
  </cols>
  <sheetData>
    <row r="1" spans="1:21" ht="14.25" customHeight="1" x14ac:dyDescent="0.3">
      <c r="A1" s="4" t="s">
        <v>37</v>
      </c>
      <c r="B1" s="4" t="s">
        <v>74</v>
      </c>
      <c r="C1" s="4" t="s">
        <v>75</v>
      </c>
      <c r="D1" s="4" t="s">
        <v>76</v>
      </c>
      <c r="E1" s="4" t="s">
        <v>77</v>
      </c>
      <c r="F1" s="4" t="s">
        <v>78</v>
      </c>
      <c r="G1" s="4" t="s">
        <v>79</v>
      </c>
      <c r="H1" s="4" t="s">
        <v>80</v>
      </c>
      <c r="I1" s="4" t="s">
        <v>81</v>
      </c>
      <c r="J1" s="9" t="s">
        <v>82</v>
      </c>
      <c r="K1" s="9" t="s">
        <v>83</v>
      </c>
      <c r="L1" s="9" t="s">
        <v>84</v>
      </c>
      <c r="M1" s="9" t="s">
        <v>85</v>
      </c>
      <c r="N1" s="9" t="s">
        <v>86</v>
      </c>
      <c r="O1" s="9" t="s">
        <v>87</v>
      </c>
      <c r="P1" s="9" t="s">
        <v>88</v>
      </c>
      <c r="Q1" s="9" t="s">
        <v>89</v>
      </c>
      <c r="R1" s="9" t="s">
        <v>90</v>
      </c>
      <c r="S1" s="9" t="s">
        <v>91</v>
      </c>
      <c r="T1" s="9" t="s">
        <v>92</v>
      </c>
      <c r="U1" s="9" t="s">
        <v>93</v>
      </c>
    </row>
    <row r="2" spans="1:21" ht="14.25" customHeight="1" x14ac:dyDescent="0.3">
      <c r="A2" s="5" t="s">
        <v>43</v>
      </c>
      <c r="B2" s="10">
        <v>2026</v>
      </c>
      <c r="C2" s="11">
        <v>702372</v>
      </c>
      <c r="D2" s="12">
        <f>+C2/Campos!F2</f>
        <v>9062.8645161290315</v>
      </c>
      <c r="E2" s="11">
        <v>12000</v>
      </c>
      <c r="F2" s="13">
        <f>+D2*G2</f>
        <v>40964.147612903216</v>
      </c>
      <c r="G2" s="14">
        <v>4.5199999999999996</v>
      </c>
      <c r="H2" s="11">
        <v>3432</v>
      </c>
      <c r="I2" s="11">
        <v>6</v>
      </c>
      <c r="J2" s="5" t="s">
        <v>94</v>
      </c>
      <c r="K2" s="15">
        <v>0.45</v>
      </c>
      <c r="L2" s="5" t="s">
        <v>95</v>
      </c>
      <c r="M2" s="15">
        <v>0.35</v>
      </c>
      <c r="N2" s="5" t="s">
        <v>96</v>
      </c>
      <c r="O2" s="15">
        <v>0.2</v>
      </c>
      <c r="P2" s="5"/>
      <c r="Q2" s="15"/>
      <c r="R2" s="5"/>
      <c r="S2" s="15"/>
      <c r="T2" s="5"/>
      <c r="U2" s="15"/>
    </row>
    <row r="3" spans="1:21" ht="14.25" customHeight="1" x14ac:dyDescent="0.3">
      <c r="A3" s="5" t="s">
        <v>48</v>
      </c>
      <c r="B3" s="10">
        <v>2026</v>
      </c>
      <c r="C3" s="11">
        <v>382194</v>
      </c>
      <c r="D3" s="12">
        <f>+C3/Campos!F3</f>
        <v>9099.8571428571431</v>
      </c>
      <c r="E3" s="11">
        <v>11500</v>
      </c>
      <c r="F3" s="13">
        <f t="shared" ref="F3:F6" si="0">+D3*G3</f>
        <v>37400.412857142859</v>
      </c>
      <c r="G3" s="14">
        <v>4.1100000000000003</v>
      </c>
      <c r="H3" s="11">
        <v>3286</v>
      </c>
      <c r="I3" s="11">
        <v>4</v>
      </c>
      <c r="J3" s="5" t="s">
        <v>94</v>
      </c>
      <c r="K3" s="15">
        <v>0.4</v>
      </c>
      <c r="L3" s="5" t="s">
        <v>97</v>
      </c>
      <c r="M3" s="15">
        <v>0.35</v>
      </c>
      <c r="N3" s="5" t="s">
        <v>98</v>
      </c>
      <c r="O3" s="15">
        <v>0.25</v>
      </c>
      <c r="P3" s="5"/>
      <c r="Q3" s="15"/>
      <c r="R3" s="5"/>
      <c r="S3" s="15"/>
      <c r="T3" s="5"/>
      <c r="U3" s="15"/>
    </row>
    <row r="4" spans="1:21" ht="14.25" customHeight="1" x14ac:dyDescent="0.3">
      <c r="A4" s="5" t="s">
        <v>51</v>
      </c>
      <c r="B4" s="10">
        <v>2026</v>
      </c>
      <c r="C4" s="11">
        <v>201890</v>
      </c>
      <c r="D4" s="12">
        <f>+C4/Campos!F4</f>
        <v>9261.0091743119265</v>
      </c>
      <c r="E4" s="11">
        <v>13000</v>
      </c>
      <c r="F4" s="13">
        <f t="shared" si="0"/>
        <v>46397.65596330275</v>
      </c>
      <c r="G4" s="14">
        <v>5.01</v>
      </c>
      <c r="H4" s="11">
        <v>4495</v>
      </c>
      <c r="I4" s="11">
        <v>9</v>
      </c>
      <c r="J4" s="5" t="s">
        <v>94</v>
      </c>
      <c r="K4" s="15">
        <v>0.6</v>
      </c>
      <c r="L4" s="5" t="s">
        <v>96</v>
      </c>
      <c r="M4" s="15">
        <v>0.4</v>
      </c>
      <c r="N4" s="5"/>
      <c r="O4" s="15"/>
      <c r="P4" s="5"/>
      <c r="Q4" s="15"/>
      <c r="R4" s="5"/>
      <c r="S4" s="15"/>
      <c r="T4" s="5"/>
      <c r="U4" s="15"/>
    </row>
    <row r="5" spans="1:21" ht="14.25" customHeight="1" x14ac:dyDescent="0.3">
      <c r="A5" s="5" t="s">
        <v>53</v>
      </c>
      <c r="B5" s="10">
        <v>2026</v>
      </c>
      <c r="C5" s="11">
        <v>64800</v>
      </c>
      <c r="D5" s="12">
        <f>+C5/Campos!F5</f>
        <v>3240</v>
      </c>
      <c r="E5" s="11">
        <v>12500</v>
      </c>
      <c r="F5" s="13">
        <f t="shared" si="0"/>
        <v>14580</v>
      </c>
      <c r="G5" s="14">
        <v>4.5</v>
      </c>
      <c r="H5" s="11">
        <v>500</v>
      </c>
      <c r="I5" s="11">
        <v>1</v>
      </c>
      <c r="J5" s="5" t="s">
        <v>97</v>
      </c>
      <c r="K5" s="15">
        <v>0.4</v>
      </c>
      <c r="L5" s="5" t="s">
        <v>98</v>
      </c>
      <c r="M5" s="15">
        <v>0.35</v>
      </c>
      <c r="N5" s="5" t="s">
        <v>95</v>
      </c>
      <c r="O5" s="15">
        <v>0.25</v>
      </c>
      <c r="P5" s="5"/>
      <c r="Q5" s="15"/>
      <c r="R5" s="5"/>
      <c r="S5" s="15"/>
      <c r="T5" s="5"/>
      <c r="U5" s="15"/>
    </row>
    <row r="6" spans="1:21" ht="14.25" customHeight="1" x14ac:dyDescent="0.3">
      <c r="A6" s="5" t="s">
        <v>55</v>
      </c>
      <c r="B6" s="10">
        <v>2026</v>
      </c>
      <c r="C6" s="11">
        <v>244489</v>
      </c>
      <c r="D6" s="12">
        <f>+C6/Campos!F6</f>
        <v>12347.929292929293</v>
      </c>
      <c r="E6" s="11">
        <v>11000</v>
      </c>
      <c r="F6" s="13">
        <f t="shared" si="0"/>
        <v>40748.166666666664</v>
      </c>
      <c r="G6" s="14">
        <v>3.3</v>
      </c>
      <c r="H6" s="11">
        <v>3283</v>
      </c>
      <c r="I6" s="11">
        <v>3</v>
      </c>
      <c r="J6" s="5" t="s">
        <v>94</v>
      </c>
      <c r="K6" s="15">
        <v>0.3</v>
      </c>
      <c r="L6" s="5" t="s">
        <v>95</v>
      </c>
      <c r="M6" s="15">
        <v>0.3</v>
      </c>
      <c r="N6" s="5" t="s">
        <v>98</v>
      </c>
      <c r="O6" s="15">
        <v>0.25</v>
      </c>
      <c r="P6" s="5" t="s">
        <v>99</v>
      </c>
      <c r="Q6" s="15">
        <v>0.15</v>
      </c>
      <c r="R6" s="5"/>
      <c r="S6" s="15"/>
      <c r="T6" s="5"/>
      <c r="U6" s="1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pane ySplit="1" topLeftCell="A2" activePane="bottomLeft" state="frozen"/>
      <selection pane="bottomLeft" activeCell="F5" sqref="F5"/>
    </sheetView>
  </sheetViews>
  <sheetFormatPr baseColWidth="10" defaultColWidth="8.88671875" defaultRowHeight="14.4" x14ac:dyDescent="0.3"/>
  <cols>
    <col min="1" max="1" width="12" customWidth="1"/>
    <col min="2" max="2" width="11" customWidth="1"/>
    <col min="5" max="5" width="12.6640625" customWidth="1"/>
    <col min="6" max="6" width="14.21875" customWidth="1"/>
    <col min="7" max="7" width="12" customWidth="1"/>
    <col min="8" max="8" width="16" customWidth="1"/>
    <col min="9" max="9" width="17" customWidth="1"/>
    <col min="10" max="10" width="10" customWidth="1"/>
    <col min="11" max="11" width="17" customWidth="1"/>
    <col min="12" max="12" width="10" customWidth="1"/>
    <col min="13" max="13" width="17" customWidth="1"/>
    <col min="14" max="14" width="10" customWidth="1"/>
    <col min="15" max="15" width="17" customWidth="1"/>
    <col min="16" max="16" width="10" customWidth="1"/>
    <col min="17" max="17" width="17" customWidth="1"/>
    <col min="18" max="18" width="10" customWidth="1"/>
    <col min="19" max="19" width="17" customWidth="1"/>
    <col min="20" max="20" width="10" customWidth="1"/>
  </cols>
  <sheetData>
    <row r="1" spans="1:21" ht="14.25" customHeight="1" x14ac:dyDescent="0.3">
      <c r="A1" s="4" t="s">
        <v>37</v>
      </c>
      <c r="B1" s="4" t="s">
        <v>74</v>
      </c>
      <c r="C1" s="4" t="s">
        <v>75</v>
      </c>
      <c r="D1" s="4" t="s">
        <v>76</v>
      </c>
      <c r="E1" s="4" t="s">
        <v>77</v>
      </c>
      <c r="F1" s="4" t="s">
        <v>78</v>
      </c>
      <c r="G1" s="4" t="s">
        <v>79</v>
      </c>
      <c r="H1" s="4" t="s">
        <v>80</v>
      </c>
      <c r="I1" s="4" t="s">
        <v>81</v>
      </c>
      <c r="J1" s="9" t="s">
        <v>82</v>
      </c>
      <c r="K1" s="9" t="s">
        <v>83</v>
      </c>
      <c r="L1" s="9" t="s">
        <v>84</v>
      </c>
      <c r="M1" s="9" t="s">
        <v>85</v>
      </c>
      <c r="N1" s="9" t="s">
        <v>86</v>
      </c>
      <c r="O1" s="9" t="s">
        <v>87</v>
      </c>
      <c r="P1" s="9" t="s">
        <v>88</v>
      </c>
      <c r="Q1" s="9" t="s">
        <v>89</v>
      </c>
      <c r="R1" s="9" t="s">
        <v>90</v>
      </c>
      <c r="S1" s="9" t="s">
        <v>91</v>
      </c>
      <c r="T1" s="9" t="s">
        <v>92</v>
      </c>
      <c r="U1" s="9" t="s">
        <v>93</v>
      </c>
    </row>
    <row r="2" spans="1:21" ht="14.25" customHeight="1" x14ac:dyDescent="0.3">
      <c r="A2" s="5" t="s">
        <v>60</v>
      </c>
      <c r="B2" s="10">
        <v>2026</v>
      </c>
      <c r="C2" s="11">
        <v>4515420</v>
      </c>
      <c r="D2" s="12">
        <f>+C2/Campos!F8</f>
        <v>32253</v>
      </c>
      <c r="E2" s="11">
        <v>4200</v>
      </c>
      <c r="F2" s="13">
        <f>+D2*G2</f>
        <v>18835.752</v>
      </c>
      <c r="G2" s="14">
        <v>0.58399999999999996</v>
      </c>
      <c r="H2" s="11">
        <v>474</v>
      </c>
      <c r="I2" s="11">
        <v>14</v>
      </c>
      <c r="J2" s="5" t="s">
        <v>100</v>
      </c>
      <c r="K2" s="15">
        <v>0.7</v>
      </c>
      <c r="L2" s="5" t="s">
        <v>101</v>
      </c>
      <c r="M2" s="15">
        <v>0.3</v>
      </c>
      <c r="N2" s="5"/>
      <c r="O2" s="15"/>
      <c r="P2" s="5"/>
      <c r="Q2" s="15"/>
      <c r="R2" s="5"/>
      <c r="S2" s="15"/>
      <c r="T2" s="5"/>
      <c r="U2" s="15"/>
    </row>
    <row r="3" spans="1:21" ht="14.25" customHeight="1" x14ac:dyDescent="0.3">
      <c r="A3" s="5" t="s">
        <v>64</v>
      </c>
      <c r="B3" s="10">
        <v>2026</v>
      </c>
      <c r="C3" s="11">
        <v>1108688</v>
      </c>
      <c r="D3" s="12">
        <f>+C3/Campos!F9</f>
        <v>27717.200000000001</v>
      </c>
      <c r="E3" s="11">
        <v>6000</v>
      </c>
      <c r="F3" s="13">
        <f t="shared" ref="F3:F5" si="0">+D3*G3</f>
        <v>16186.844799999999</v>
      </c>
      <c r="G3" s="14">
        <v>0.58399999999999996</v>
      </c>
      <c r="H3" s="11">
        <v>413</v>
      </c>
      <c r="I3" s="11">
        <v>22</v>
      </c>
      <c r="J3" s="5" t="s">
        <v>100</v>
      </c>
      <c r="K3" s="15">
        <v>0.6</v>
      </c>
      <c r="L3" s="5" t="s">
        <v>102</v>
      </c>
      <c r="M3" s="15">
        <v>0.4</v>
      </c>
      <c r="N3" s="5"/>
      <c r="O3" s="15"/>
      <c r="P3" s="5"/>
      <c r="Q3" s="15"/>
      <c r="R3" s="5"/>
      <c r="S3" s="15"/>
      <c r="T3" s="5"/>
      <c r="U3" s="15"/>
    </row>
    <row r="4" spans="1:21" ht="14.25" customHeight="1" x14ac:dyDescent="0.3">
      <c r="A4" s="5" t="s">
        <v>66</v>
      </c>
      <c r="B4" s="10">
        <v>2026</v>
      </c>
      <c r="C4" s="11">
        <v>2761449</v>
      </c>
      <c r="D4" s="12">
        <f>+C4/Campos!F10</f>
        <v>21241.915384615386</v>
      </c>
      <c r="E4" s="11">
        <v>5000</v>
      </c>
      <c r="F4" s="13">
        <f t="shared" si="0"/>
        <v>12405.278584615384</v>
      </c>
      <c r="G4" s="14">
        <v>0.58399999999999996</v>
      </c>
      <c r="H4" s="11">
        <v>373</v>
      </c>
      <c r="I4" s="11">
        <v>11</v>
      </c>
      <c r="J4" s="5" t="s">
        <v>100</v>
      </c>
      <c r="K4" s="15">
        <v>0.5</v>
      </c>
      <c r="L4" s="5" t="s">
        <v>101</v>
      </c>
      <c r="M4" s="15">
        <v>0.3</v>
      </c>
      <c r="N4" s="5" t="s">
        <v>102</v>
      </c>
      <c r="O4" s="15">
        <v>0.2</v>
      </c>
      <c r="P4" s="5"/>
      <c r="Q4" s="15"/>
      <c r="R4" s="5"/>
      <c r="S4" s="15"/>
      <c r="T4" s="5"/>
      <c r="U4" s="15"/>
    </row>
    <row r="5" spans="1:21" ht="14.25" customHeight="1" x14ac:dyDescent="0.3">
      <c r="A5" s="5" t="s">
        <v>69</v>
      </c>
      <c r="B5" s="10">
        <v>2026</v>
      </c>
      <c r="C5" s="11">
        <v>213840</v>
      </c>
      <c r="D5" s="12">
        <f>+C5/Campos!F11</f>
        <v>4752</v>
      </c>
      <c r="E5" s="11">
        <v>4550</v>
      </c>
      <c r="F5" s="13">
        <f t="shared" si="0"/>
        <v>2775.1679999999997</v>
      </c>
      <c r="G5" s="14">
        <v>0.58399999999999996</v>
      </c>
      <c r="H5" s="11">
        <v>309</v>
      </c>
      <c r="I5" s="11">
        <v>8</v>
      </c>
      <c r="J5" s="5" t="s">
        <v>100</v>
      </c>
      <c r="K5" s="15">
        <v>0.65</v>
      </c>
      <c r="L5" s="5" t="s">
        <v>101</v>
      </c>
      <c r="M5" s="15">
        <v>0.35</v>
      </c>
      <c r="N5" s="5"/>
      <c r="O5" s="15"/>
      <c r="P5" s="5"/>
      <c r="Q5" s="15"/>
      <c r="R5" s="5"/>
      <c r="S5" s="15"/>
      <c r="T5" s="5"/>
      <c r="U5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1" customWidth="1"/>
    <col min="6" max="6" width="13" customWidth="1"/>
    <col min="7" max="7" width="12" customWidth="1"/>
    <col min="8" max="8" width="16" customWidth="1"/>
    <col min="9" max="9" width="17" customWidth="1"/>
    <col min="10" max="10" width="10" customWidth="1"/>
    <col min="11" max="11" width="17" customWidth="1"/>
    <col min="12" max="12" width="10" customWidth="1"/>
    <col min="13" max="13" width="17" customWidth="1"/>
    <col min="14" max="14" width="10" customWidth="1"/>
    <col min="15" max="15" width="17" customWidth="1"/>
    <col min="16" max="16" width="10" customWidth="1"/>
    <col min="17" max="17" width="17" customWidth="1"/>
    <col min="18" max="18" width="10" customWidth="1"/>
    <col min="19" max="19" width="17" customWidth="1"/>
    <col min="20" max="20" width="10" customWidth="1"/>
  </cols>
  <sheetData>
    <row r="1" spans="1:21" ht="14.25" customHeight="1" x14ac:dyDescent="0.3">
      <c r="A1" s="4" t="s">
        <v>37</v>
      </c>
      <c r="B1" s="4" t="s">
        <v>74</v>
      </c>
      <c r="C1" s="4" t="s">
        <v>75</v>
      </c>
      <c r="D1" s="4" t="s">
        <v>76</v>
      </c>
      <c r="E1" s="4" t="s">
        <v>77</v>
      </c>
      <c r="F1" s="4" t="s">
        <v>78</v>
      </c>
      <c r="G1" s="4" t="s">
        <v>79</v>
      </c>
      <c r="H1" s="4" t="s">
        <v>80</v>
      </c>
      <c r="I1" s="4" t="s">
        <v>81</v>
      </c>
      <c r="J1" s="9" t="s">
        <v>82</v>
      </c>
      <c r="K1" s="9" t="s">
        <v>83</v>
      </c>
      <c r="L1" s="9" t="s">
        <v>84</v>
      </c>
      <c r="M1" s="9" t="s">
        <v>85</v>
      </c>
      <c r="N1" s="9" t="s">
        <v>86</v>
      </c>
      <c r="O1" s="9" t="s">
        <v>87</v>
      </c>
      <c r="P1" s="9" t="s">
        <v>88</v>
      </c>
      <c r="Q1" s="9" t="s">
        <v>89</v>
      </c>
      <c r="R1" s="9" t="s">
        <v>90</v>
      </c>
      <c r="S1" s="9" t="s">
        <v>91</v>
      </c>
      <c r="T1" s="9" t="s">
        <v>92</v>
      </c>
      <c r="U1" s="9" t="s">
        <v>93</v>
      </c>
    </row>
    <row r="2" spans="1:21" ht="14.25" customHeight="1" x14ac:dyDescent="0.3">
      <c r="A2" s="5" t="s">
        <v>71</v>
      </c>
      <c r="B2" s="10">
        <v>2026</v>
      </c>
      <c r="C2" s="11">
        <v>0</v>
      </c>
      <c r="D2" s="12">
        <f>IF(C2="","",C2/VLOOKUP(A2,Campos!$A:$F,6,FALSE()))</f>
        <v>0</v>
      </c>
      <c r="E2" s="11">
        <v>0</v>
      </c>
      <c r="F2" s="13">
        <f>IF(OR(D2="",G2=""),"",D2*G2)</f>
        <v>0</v>
      </c>
      <c r="G2" s="14">
        <v>0</v>
      </c>
      <c r="H2" s="11"/>
      <c r="I2" s="11">
        <v>3</v>
      </c>
      <c r="J2" s="5"/>
      <c r="K2" s="15"/>
      <c r="L2" s="5"/>
      <c r="M2" s="15"/>
      <c r="N2" s="5"/>
      <c r="O2" s="15"/>
      <c r="P2" s="5"/>
      <c r="Q2" s="15"/>
      <c r="R2" s="5"/>
      <c r="S2" s="15"/>
      <c r="T2" s="5"/>
      <c r="U2" s="1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3" customWidth="1"/>
    <col min="5" max="5" width="18" customWidth="1"/>
    <col min="6" max="6" width="14" customWidth="1"/>
  </cols>
  <sheetData>
    <row r="1" spans="1:6" ht="15" customHeight="1" x14ac:dyDescent="0.3">
      <c r="A1" s="4" t="s">
        <v>37</v>
      </c>
      <c r="B1" s="4" t="s">
        <v>103</v>
      </c>
      <c r="C1" s="4" t="s">
        <v>104</v>
      </c>
      <c r="D1" s="4" t="s">
        <v>42</v>
      </c>
      <c r="E1" s="4" t="s">
        <v>105</v>
      </c>
      <c r="F1" s="4" t="s">
        <v>106</v>
      </c>
    </row>
    <row r="2" spans="1:6" ht="15" customHeight="1" x14ac:dyDescent="0.3">
      <c r="A2" s="5" t="s">
        <v>53</v>
      </c>
      <c r="B2" s="10">
        <v>2026</v>
      </c>
      <c r="C2" s="5" t="s">
        <v>107</v>
      </c>
      <c r="D2" s="6">
        <v>16</v>
      </c>
      <c r="E2" s="5" t="s">
        <v>108</v>
      </c>
      <c r="F2" s="16">
        <v>1</v>
      </c>
    </row>
    <row r="3" spans="1:6" ht="15" customHeight="1" x14ac:dyDescent="0.3">
      <c r="A3" s="5" t="s">
        <v>48</v>
      </c>
      <c r="B3" s="10">
        <v>2028</v>
      </c>
      <c r="C3" s="5" t="s">
        <v>107</v>
      </c>
      <c r="D3" s="6">
        <v>6</v>
      </c>
      <c r="E3" s="5" t="s">
        <v>108</v>
      </c>
      <c r="F3" s="16">
        <v>1</v>
      </c>
    </row>
    <row r="4" spans="1:6" ht="15" customHeight="1" x14ac:dyDescent="0.3">
      <c r="A4" s="5" t="s">
        <v>48</v>
      </c>
      <c r="B4" s="10">
        <v>2028</v>
      </c>
      <c r="C4" s="5" t="s">
        <v>109</v>
      </c>
      <c r="D4" s="6">
        <v>4</v>
      </c>
      <c r="E4" s="5" t="s">
        <v>108</v>
      </c>
      <c r="F4" s="16">
        <v>1</v>
      </c>
    </row>
    <row r="5" spans="1:6" ht="15" customHeight="1" x14ac:dyDescent="0.3">
      <c r="A5" s="5" t="s">
        <v>48</v>
      </c>
      <c r="B5" s="10">
        <v>2029</v>
      </c>
      <c r="C5" s="5" t="s">
        <v>109</v>
      </c>
      <c r="D5" s="6">
        <v>38</v>
      </c>
      <c r="E5" s="5" t="s">
        <v>108</v>
      </c>
      <c r="F5" s="16">
        <v>1</v>
      </c>
    </row>
    <row r="6" spans="1:6" ht="15" customHeight="1" x14ac:dyDescent="0.3">
      <c r="A6" s="5" t="s">
        <v>43</v>
      </c>
      <c r="B6" s="10">
        <v>2027</v>
      </c>
      <c r="C6" s="5" t="s">
        <v>107</v>
      </c>
      <c r="D6" s="6">
        <v>9</v>
      </c>
      <c r="E6" s="5" t="s">
        <v>108</v>
      </c>
      <c r="F6" s="16">
        <v>1</v>
      </c>
    </row>
    <row r="7" spans="1:6" ht="15" customHeight="1" x14ac:dyDescent="0.3">
      <c r="A7" s="5" t="s">
        <v>43</v>
      </c>
      <c r="B7" s="10">
        <v>2028</v>
      </c>
      <c r="C7" s="5" t="s">
        <v>107</v>
      </c>
      <c r="D7" s="6">
        <v>8.5</v>
      </c>
      <c r="E7" s="5" t="s">
        <v>108</v>
      </c>
      <c r="F7" s="16">
        <v>1</v>
      </c>
    </row>
    <row r="8" spans="1:6" ht="15" customHeight="1" x14ac:dyDescent="0.3">
      <c r="A8" s="5" t="s">
        <v>43</v>
      </c>
      <c r="B8" s="10">
        <v>2028</v>
      </c>
      <c r="C8" s="5" t="s">
        <v>109</v>
      </c>
      <c r="D8" s="6">
        <v>21.5</v>
      </c>
      <c r="E8" s="5" t="s">
        <v>108</v>
      </c>
      <c r="F8" s="16">
        <v>1</v>
      </c>
    </row>
    <row r="9" spans="1:6" ht="15" customHeight="1" x14ac:dyDescent="0.3">
      <c r="A9" s="5" t="s">
        <v>43</v>
      </c>
      <c r="B9" s="10">
        <v>2029</v>
      </c>
      <c r="C9" s="5" t="s">
        <v>109</v>
      </c>
      <c r="D9" s="6">
        <v>27</v>
      </c>
      <c r="E9" s="5" t="s">
        <v>108</v>
      </c>
      <c r="F9" s="16">
        <v>1</v>
      </c>
    </row>
    <row r="10" spans="1:6" ht="15" customHeight="1" x14ac:dyDescent="0.3">
      <c r="A10" s="5" t="s">
        <v>43</v>
      </c>
      <c r="B10" s="10">
        <v>2030</v>
      </c>
      <c r="C10" s="5" t="s">
        <v>109</v>
      </c>
      <c r="D10" s="6">
        <v>29</v>
      </c>
      <c r="E10" s="5" t="s">
        <v>108</v>
      </c>
      <c r="F10" s="16">
        <v>1</v>
      </c>
    </row>
    <row r="11" spans="1:6" ht="15" customHeight="1" x14ac:dyDescent="0.3">
      <c r="A11" s="5" t="s">
        <v>51</v>
      </c>
      <c r="B11" s="10">
        <v>2030</v>
      </c>
      <c r="C11" s="5" t="s">
        <v>107</v>
      </c>
      <c r="D11" s="6">
        <v>0.2</v>
      </c>
      <c r="E11" s="5" t="s">
        <v>108</v>
      </c>
      <c r="F11" s="16">
        <v>1</v>
      </c>
    </row>
    <row r="12" spans="1:6" ht="15" customHeight="1" x14ac:dyDescent="0.3">
      <c r="A12" s="5" t="s">
        <v>51</v>
      </c>
      <c r="B12" s="10">
        <v>2030</v>
      </c>
      <c r="C12" s="5" t="s">
        <v>109</v>
      </c>
      <c r="D12" s="6">
        <v>21.8</v>
      </c>
      <c r="E12" s="5" t="s">
        <v>108</v>
      </c>
      <c r="F12" s="16">
        <v>1</v>
      </c>
    </row>
    <row r="13" spans="1:6" ht="15" customHeight="1" x14ac:dyDescent="0.3">
      <c r="A13" s="5" t="s">
        <v>58</v>
      </c>
      <c r="B13" s="10">
        <v>2027</v>
      </c>
      <c r="C13" s="5" t="s">
        <v>107</v>
      </c>
      <c r="D13" s="6">
        <v>40</v>
      </c>
      <c r="E13" s="5" t="s">
        <v>108</v>
      </c>
      <c r="F13" s="16">
        <v>1</v>
      </c>
    </row>
    <row r="14" spans="1:6" ht="15" customHeight="1" x14ac:dyDescent="0.3">
      <c r="A14" s="5" t="s">
        <v>58</v>
      </c>
      <c r="B14" s="10">
        <v>2028</v>
      </c>
      <c r="C14" s="5" t="s">
        <v>107</v>
      </c>
      <c r="D14" s="6">
        <v>30</v>
      </c>
      <c r="E14" s="5" t="s">
        <v>108</v>
      </c>
      <c r="F14" s="16">
        <v>1</v>
      </c>
    </row>
    <row r="15" spans="1:6" ht="15" customHeight="1" x14ac:dyDescent="0.3">
      <c r="A15" s="5"/>
      <c r="B15" s="10"/>
      <c r="C15" s="5"/>
      <c r="D15" s="6"/>
      <c r="E15" s="5"/>
      <c r="F15" s="16"/>
    </row>
    <row r="16" spans="1:6" ht="15" customHeight="1" x14ac:dyDescent="0.3">
      <c r="A16" s="5"/>
      <c r="B16" s="10"/>
      <c r="C16" s="5"/>
      <c r="D16" s="6"/>
      <c r="E16" s="5"/>
      <c r="F16" s="1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xSplit="1" ySplit="1" topLeftCell="B2" activePane="bottomRight" state="frozen"/>
      <selection pane="topRight"/>
      <selection pane="bottomLeft"/>
      <selection pane="bottomRight" activeCell="D10" sqref="D10"/>
    </sheetView>
  </sheetViews>
  <sheetFormatPr baseColWidth="10" defaultColWidth="8.88671875" defaultRowHeight="14.4" x14ac:dyDescent="0.3"/>
  <cols>
    <col min="1" max="1" width="15" customWidth="1"/>
    <col min="2" max="3" width="9" customWidth="1"/>
  </cols>
  <sheetData>
    <row r="1" spans="1:17" ht="15" customHeight="1" x14ac:dyDescent="0.3">
      <c r="A1" s="4" t="s">
        <v>105</v>
      </c>
      <c r="B1" s="4" t="s">
        <v>184</v>
      </c>
      <c r="C1" s="4" t="s">
        <v>110</v>
      </c>
      <c r="D1" s="4" t="s">
        <v>111</v>
      </c>
      <c r="E1" s="4" t="s">
        <v>112</v>
      </c>
      <c r="F1" s="4" t="s">
        <v>113</v>
      </c>
      <c r="G1" s="4" t="s">
        <v>114</v>
      </c>
      <c r="H1" s="4" t="s">
        <v>115</v>
      </c>
      <c r="I1" s="4" t="s">
        <v>116</v>
      </c>
      <c r="J1" s="4" t="s">
        <v>117</v>
      </c>
      <c r="K1" s="4" t="s">
        <v>118</v>
      </c>
      <c r="L1" s="4" t="s">
        <v>119</v>
      </c>
      <c r="M1" s="4" t="s">
        <v>120</v>
      </c>
      <c r="N1" s="4" t="s">
        <v>121</v>
      </c>
      <c r="O1" s="4" t="s">
        <v>122</v>
      </c>
      <c r="P1" s="4" t="s">
        <v>123</v>
      </c>
      <c r="Q1" s="4" t="s">
        <v>124</v>
      </c>
    </row>
    <row r="2" spans="1:17" ht="15" customHeight="1" x14ac:dyDescent="0.3">
      <c r="A2" s="5" t="s">
        <v>108</v>
      </c>
      <c r="B2" s="17">
        <v>0</v>
      </c>
      <c r="C2" s="17">
        <v>500</v>
      </c>
      <c r="D2" s="17">
        <v>3000</v>
      </c>
      <c r="E2" s="17">
        <v>9000</v>
      </c>
      <c r="F2" s="17">
        <v>17800</v>
      </c>
      <c r="G2" s="17">
        <v>17800</v>
      </c>
      <c r="H2" s="17">
        <v>17800</v>
      </c>
      <c r="I2" s="17">
        <v>17800</v>
      </c>
      <c r="J2" s="17">
        <v>17800</v>
      </c>
      <c r="K2" s="17">
        <v>17800</v>
      </c>
      <c r="L2" s="17">
        <v>15500</v>
      </c>
      <c r="M2" s="17">
        <v>13500</v>
      </c>
      <c r="N2" s="17">
        <v>11500</v>
      </c>
      <c r="O2" s="11">
        <v>10000</v>
      </c>
      <c r="P2" s="11">
        <v>10000</v>
      </c>
      <c r="Q2" s="11">
        <v>10000</v>
      </c>
    </row>
    <row r="3" spans="1:17" ht="15" customHeight="1" x14ac:dyDescent="0.3">
      <c r="A3" s="5" t="s">
        <v>97</v>
      </c>
      <c r="B3" s="17">
        <v>0</v>
      </c>
      <c r="C3" s="17">
        <v>500</v>
      </c>
      <c r="D3" s="17">
        <v>3000</v>
      </c>
      <c r="E3" s="17">
        <v>9000</v>
      </c>
      <c r="F3" s="17">
        <v>17800</v>
      </c>
      <c r="G3" s="17">
        <v>17800</v>
      </c>
      <c r="H3" s="17">
        <v>17800</v>
      </c>
      <c r="I3" s="17">
        <v>17800</v>
      </c>
      <c r="J3" s="17">
        <v>17800</v>
      </c>
      <c r="K3" s="17">
        <v>17800</v>
      </c>
      <c r="L3" s="17">
        <v>15500</v>
      </c>
      <c r="M3" s="17">
        <v>13500</v>
      </c>
      <c r="N3" s="17">
        <v>11500</v>
      </c>
      <c r="O3" s="11">
        <v>10000</v>
      </c>
      <c r="P3" s="11">
        <v>10000</v>
      </c>
      <c r="Q3" s="11">
        <v>10000</v>
      </c>
    </row>
    <row r="4" spans="1:17" ht="15" customHeight="1" x14ac:dyDescent="0.3">
      <c r="A4" s="5" t="s">
        <v>95</v>
      </c>
      <c r="B4" s="17">
        <v>0</v>
      </c>
      <c r="C4" s="17">
        <v>500</v>
      </c>
      <c r="D4" s="17">
        <v>3000</v>
      </c>
      <c r="E4" s="17">
        <v>9000</v>
      </c>
      <c r="F4" s="17">
        <v>17800</v>
      </c>
      <c r="G4" s="17">
        <v>17800</v>
      </c>
      <c r="H4" s="17">
        <v>17800</v>
      </c>
      <c r="I4" s="17">
        <v>17800</v>
      </c>
      <c r="J4" s="17">
        <v>17800</v>
      </c>
      <c r="K4" s="17">
        <v>17800</v>
      </c>
      <c r="L4" s="17">
        <v>15500</v>
      </c>
      <c r="M4" s="17">
        <v>13500</v>
      </c>
      <c r="N4" s="17">
        <v>11500</v>
      </c>
      <c r="O4" s="11">
        <v>10000</v>
      </c>
      <c r="P4" s="11">
        <v>10000</v>
      </c>
      <c r="Q4" s="11">
        <v>10000</v>
      </c>
    </row>
    <row r="5" spans="1:17" ht="15" customHeight="1" x14ac:dyDescent="0.3">
      <c r="A5" s="5" t="s">
        <v>99</v>
      </c>
      <c r="B5" s="17">
        <v>0</v>
      </c>
      <c r="C5" s="17">
        <v>500</v>
      </c>
      <c r="D5" s="17">
        <v>3000</v>
      </c>
      <c r="E5" s="17">
        <v>9000</v>
      </c>
      <c r="F5" s="17">
        <v>17800</v>
      </c>
      <c r="G5" s="17">
        <v>17800</v>
      </c>
      <c r="H5" s="17">
        <v>17800</v>
      </c>
      <c r="I5" s="17">
        <v>17800</v>
      </c>
      <c r="J5" s="17">
        <v>17800</v>
      </c>
      <c r="K5" s="17">
        <v>17800</v>
      </c>
      <c r="L5" s="17">
        <v>15500</v>
      </c>
      <c r="M5" s="17">
        <v>13500</v>
      </c>
      <c r="N5" s="17">
        <v>11500</v>
      </c>
      <c r="O5" s="11">
        <v>10000</v>
      </c>
      <c r="P5" s="11">
        <v>10000</v>
      </c>
      <c r="Q5" s="11">
        <v>10000</v>
      </c>
    </row>
    <row r="6" spans="1:17" ht="15" customHeight="1" x14ac:dyDescent="0.3">
      <c r="A6" s="5" t="s">
        <v>125</v>
      </c>
      <c r="B6" s="17">
        <v>0</v>
      </c>
      <c r="C6" s="17">
        <v>500</v>
      </c>
      <c r="D6" s="17">
        <v>3000</v>
      </c>
      <c r="E6" s="17">
        <v>9000</v>
      </c>
      <c r="F6" s="17">
        <v>17800</v>
      </c>
      <c r="G6" s="17">
        <v>17800</v>
      </c>
      <c r="H6" s="17">
        <v>17800</v>
      </c>
      <c r="I6" s="17">
        <v>17800</v>
      </c>
      <c r="J6" s="17">
        <v>17800</v>
      </c>
      <c r="K6" s="17">
        <v>17800</v>
      </c>
      <c r="L6" s="17">
        <v>15500</v>
      </c>
      <c r="M6" s="17">
        <v>13500</v>
      </c>
      <c r="N6" s="17">
        <v>11500</v>
      </c>
      <c r="O6" s="11">
        <v>10000</v>
      </c>
      <c r="P6" s="11">
        <v>10000</v>
      </c>
      <c r="Q6" s="11">
        <v>10000</v>
      </c>
    </row>
    <row r="7" spans="1:17" ht="15" customHeight="1" x14ac:dyDescent="0.3">
      <c r="A7" s="5" t="s">
        <v>126</v>
      </c>
      <c r="B7" s="17">
        <v>0</v>
      </c>
      <c r="C7" s="17">
        <v>500</v>
      </c>
      <c r="D7" s="17">
        <v>3000</v>
      </c>
      <c r="E7" s="17">
        <v>9000</v>
      </c>
      <c r="F7" s="17">
        <v>17800</v>
      </c>
      <c r="G7" s="17">
        <v>17800</v>
      </c>
      <c r="H7" s="17">
        <v>17800</v>
      </c>
      <c r="I7" s="17">
        <v>17800</v>
      </c>
      <c r="J7" s="17">
        <v>17800</v>
      </c>
      <c r="K7" s="17">
        <v>17800</v>
      </c>
      <c r="L7" s="17">
        <v>15500</v>
      </c>
      <c r="M7" s="17">
        <v>13500</v>
      </c>
      <c r="N7" s="17">
        <v>11500</v>
      </c>
      <c r="O7" s="11">
        <v>10000</v>
      </c>
      <c r="P7" s="11">
        <v>10000</v>
      </c>
      <c r="Q7" s="11">
        <v>10000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pane ySplit="1" topLeftCell="A2" activePane="bottomLeft" state="frozen"/>
      <selection pane="bottomLeft" activeCell="G16" sqref="G16:G19"/>
    </sheetView>
  </sheetViews>
  <sheetFormatPr baseColWidth="10" defaultColWidth="8.88671875" defaultRowHeight="14.4" x14ac:dyDescent="0.3"/>
  <cols>
    <col min="1" max="1" width="8" customWidth="1"/>
    <col min="2" max="2" width="13" customWidth="1"/>
    <col min="3" max="3" width="11" customWidth="1"/>
    <col min="4" max="4" width="16" customWidth="1"/>
    <col min="5" max="5" width="11" customWidth="1"/>
    <col min="6" max="6" width="17" customWidth="1"/>
    <col min="7" max="7" width="11" customWidth="1"/>
    <col min="8" max="8" width="14" customWidth="1"/>
    <col min="9" max="9" width="11.109375" bestFit="1" customWidth="1"/>
    <col min="11" max="11" width="10.109375" customWidth="1"/>
  </cols>
  <sheetData>
    <row r="1" spans="1:12" x14ac:dyDescent="0.3">
      <c r="A1" s="4" t="s">
        <v>103</v>
      </c>
      <c r="B1" s="4" t="s">
        <v>40</v>
      </c>
      <c r="C1" s="4" t="s">
        <v>38</v>
      </c>
      <c r="D1" s="4" t="s">
        <v>127</v>
      </c>
      <c r="E1" s="4" t="s">
        <v>104</v>
      </c>
      <c r="F1" s="4" t="s">
        <v>128</v>
      </c>
      <c r="G1" s="4" t="s">
        <v>129</v>
      </c>
      <c r="H1" s="4" t="s">
        <v>79</v>
      </c>
      <c r="I1" s="4" t="s">
        <v>130</v>
      </c>
    </row>
    <row r="2" spans="1:12" x14ac:dyDescent="0.3">
      <c r="A2" s="10">
        <v>2025</v>
      </c>
      <c r="B2" s="5" t="s">
        <v>131</v>
      </c>
      <c r="C2" s="5" t="s">
        <v>44</v>
      </c>
      <c r="D2" s="5" t="s">
        <v>132</v>
      </c>
      <c r="E2" s="5" t="s">
        <v>133</v>
      </c>
      <c r="F2" s="5" t="s">
        <v>134</v>
      </c>
      <c r="G2" s="6">
        <v>95.9</v>
      </c>
      <c r="H2" s="14">
        <v>3.55</v>
      </c>
      <c r="I2" s="18">
        <f>+G2*H2*1000</f>
        <v>340445</v>
      </c>
    </row>
    <row r="3" spans="1:12" x14ac:dyDescent="0.3">
      <c r="A3" s="10">
        <v>2025</v>
      </c>
      <c r="B3" s="5" t="s">
        <v>131</v>
      </c>
      <c r="C3" s="5" t="s">
        <v>44</v>
      </c>
      <c r="D3" s="5" t="s">
        <v>132</v>
      </c>
      <c r="E3" s="5" t="s">
        <v>135</v>
      </c>
      <c r="F3" s="5" t="s">
        <v>134</v>
      </c>
      <c r="G3" s="6">
        <v>1185.4000000000001</v>
      </c>
      <c r="H3" s="14">
        <v>6.730808576851695</v>
      </c>
      <c r="I3" s="18">
        <f>+G3*H3*1000</f>
        <v>7978700.4869999997</v>
      </c>
    </row>
    <row r="4" spans="1:12" x14ac:dyDescent="0.3">
      <c r="A4" s="10">
        <v>2025</v>
      </c>
      <c r="B4" s="5" t="s">
        <v>131</v>
      </c>
      <c r="C4" s="5" t="s">
        <v>44</v>
      </c>
      <c r="D4" s="5" t="s">
        <v>136</v>
      </c>
      <c r="E4" s="5" t="s">
        <v>135</v>
      </c>
      <c r="F4" s="5" t="s">
        <v>136</v>
      </c>
      <c r="G4" s="6">
        <v>127.14749999999999</v>
      </c>
      <c r="H4" s="14">
        <v>9.75</v>
      </c>
      <c r="I4" s="18">
        <f>+G4*H4*1000</f>
        <v>1239688.125</v>
      </c>
    </row>
    <row r="5" spans="1:12" x14ac:dyDescent="0.3">
      <c r="A5" s="10">
        <v>2025</v>
      </c>
      <c r="B5" s="5" t="s">
        <v>131</v>
      </c>
      <c r="C5" s="5" t="s">
        <v>44</v>
      </c>
      <c r="D5" s="5" t="s">
        <v>136</v>
      </c>
      <c r="E5" s="5" t="s">
        <v>133</v>
      </c>
      <c r="F5" s="5" t="s">
        <v>136</v>
      </c>
      <c r="G5" s="6">
        <v>349.6</v>
      </c>
      <c r="H5" s="14">
        <v>2.75095908538824</v>
      </c>
      <c r="I5" s="18">
        <f>+G5*H5*1000</f>
        <v>961735.29625172878</v>
      </c>
    </row>
    <row r="6" spans="1:12" x14ac:dyDescent="0.3">
      <c r="A6" s="10">
        <v>2025</v>
      </c>
      <c r="B6" s="5" t="s">
        <v>131</v>
      </c>
      <c r="C6" s="5" t="s">
        <v>61</v>
      </c>
      <c r="D6" s="5" t="s">
        <v>132</v>
      </c>
      <c r="E6" s="5" t="s">
        <v>135</v>
      </c>
      <c r="F6" s="5" t="s">
        <v>137</v>
      </c>
      <c r="G6" s="6">
        <v>1347.84</v>
      </c>
      <c r="H6" s="14">
        <v>1.0080119005223169</v>
      </c>
      <c r="I6" s="18">
        <f>+G6*H6*1000</f>
        <v>1358638.7599999995</v>
      </c>
      <c r="K6" s="19"/>
      <c r="L6" s="20"/>
    </row>
    <row r="7" spans="1:12" x14ac:dyDescent="0.3">
      <c r="A7" s="10">
        <v>2025</v>
      </c>
      <c r="B7" s="5" t="s">
        <v>131</v>
      </c>
      <c r="C7" s="5" t="s">
        <v>61</v>
      </c>
      <c r="D7" s="5" t="s">
        <v>132</v>
      </c>
      <c r="E7" s="5" t="s">
        <v>135</v>
      </c>
      <c r="F7" s="5" t="s">
        <v>138</v>
      </c>
      <c r="G7" s="6">
        <v>2171.7719999999999</v>
      </c>
      <c r="H7" s="14">
        <v>1.070785630351621</v>
      </c>
      <c r="I7" s="18">
        <f>+G7*H7*1000</f>
        <v>2325502.2500000005</v>
      </c>
    </row>
    <row r="8" spans="1:12" x14ac:dyDescent="0.3">
      <c r="A8" s="10">
        <v>2025</v>
      </c>
      <c r="B8" s="5" t="s">
        <v>131</v>
      </c>
      <c r="C8" s="5" t="s">
        <v>61</v>
      </c>
      <c r="D8" s="5" t="s">
        <v>132</v>
      </c>
      <c r="E8" s="5" t="s">
        <v>135</v>
      </c>
      <c r="F8" s="5" t="s">
        <v>139</v>
      </c>
      <c r="G8" s="6">
        <v>2940.828</v>
      </c>
      <c r="H8" s="14">
        <v>0.85771138944542147</v>
      </c>
      <c r="I8" s="18">
        <f>+G8*H8*1000</f>
        <v>2522381.67</v>
      </c>
    </row>
    <row r="9" spans="1:12" x14ac:dyDescent="0.3">
      <c r="A9" s="10">
        <v>2025</v>
      </c>
      <c r="B9" s="5" t="s">
        <v>131</v>
      </c>
      <c r="C9" s="5" t="s">
        <v>61</v>
      </c>
      <c r="D9" s="5" t="s">
        <v>136</v>
      </c>
      <c r="E9" s="5" t="s">
        <v>133</v>
      </c>
      <c r="F9" s="5" t="s">
        <v>136</v>
      </c>
      <c r="G9" s="6">
        <v>5767.8</v>
      </c>
      <c r="H9" s="14">
        <v>0.1356</v>
      </c>
      <c r="I9" s="18">
        <f>+G9*H9*1000</f>
        <v>782113.68</v>
      </c>
    </row>
    <row r="10" spans="1:12" x14ac:dyDescent="0.3">
      <c r="A10" s="10">
        <v>2025</v>
      </c>
      <c r="B10" s="5" t="s">
        <v>131</v>
      </c>
      <c r="C10" s="5" t="s">
        <v>72</v>
      </c>
      <c r="D10" s="5" t="s">
        <v>140</v>
      </c>
      <c r="E10" s="5" t="s">
        <v>140</v>
      </c>
      <c r="F10" s="5" t="s">
        <v>140</v>
      </c>
      <c r="G10" s="6"/>
      <c r="H10" s="14"/>
      <c r="I10" s="18" t="str">
        <f>IF(OR(G10="",H10=""),"",G10*1000*H10)</f>
        <v/>
      </c>
    </row>
    <row r="11" spans="1:12" x14ac:dyDescent="0.3">
      <c r="A11" s="10">
        <v>2025</v>
      </c>
      <c r="B11" s="5" t="s">
        <v>68</v>
      </c>
      <c r="C11" s="5" t="s">
        <v>141</v>
      </c>
      <c r="D11" s="5" t="s">
        <v>140</v>
      </c>
      <c r="E11" s="5" t="s">
        <v>140</v>
      </c>
      <c r="F11" s="5" t="s">
        <v>140</v>
      </c>
      <c r="G11" s="6"/>
      <c r="H11" s="21"/>
      <c r="I11" s="22">
        <v>1161700</v>
      </c>
    </row>
    <row r="12" spans="1:12" x14ac:dyDescent="0.3">
      <c r="A12" s="10">
        <v>2026</v>
      </c>
      <c r="B12" s="5" t="s">
        <v>131</v>
      </c>
      <c r="C12" s="5" t="s">
        <v>44</v>
      </c>
      <c r="D12" s="5" t="s">
        <v>132</v>
      </c>
      <c r="E12" s="5" t="s">
        <v>133</v>
      </c>
      <c r="F12" s="5" t="s">
        <v>134</v>
      </c>
      <c r="G12" s="6">
        <v>135</v>
      </c>
      <c r="H12" s="14">
        <v>2.8</v>
      </c>
      <c r="I12" s="18">
        <f>+G12*H12*1000</f>
        <v>378000</v>
      </c>
    </row>
    <row r="13" spans="1:12" x14ac:dyDescent="0.3">
      <c r="A13" s="10">
        <v>2026</v>
      </c>
      <c r="B13" s="5" t="s">
        <v>131</v>
      </c>
      <c r="C13" s="5" t="s">
        <v>44</v>
      </c>
      <c r="D13" s="5" t="s">
        <v>132</v>
      </c>
      <c r="E13" s="5" t="s">
        <v>135</v>
      </c>
      <c r="F13" s="5" t="s">
        <v>134</v>
      </c>
      <c r="G13" s="6">
        <v>1091.5999999999999</v>
      </c>
      <c r="H13" s="14">
        <v>7.4588677171124962</v>
      </c>
      <c r="I13" s="18">
        <f>+G13*H13*1000</f>
        <v>8142100</v>
      </c>
    </row>
    <row r="14" spans="1:12" x14ac:dyDescent="0.3">
      <c r="A14" s="10">
        <v>2026</v>
      </c>
      <c r="B14" s="5" t="s">
        <v>131</v>
      </c>
      <c r="C14" s="5" t="s">
        <v>44</v>
      </c>
      <c r="D14" s="5" t="s">
        <v>136</v>
      </c>
      <c r="E14" s="5" t="s">
        <v>135</v>
      </c>
      <c r="F14" s="5" t="s">
        <v>136</v>
      </c>
      <c r="G14" s="6">
        <v>171.4</v>
      </c>
      <c r="H14" s="14">
        <v>8.0268378063010513</v>
      </c>
      <c r="I14" s="18">
        <f>+G14*H14*1000</f>
        <v>1375800.0000000002</v>
      </c>
    </row>
    <row r="15" spans="1:12" x14ac:dyDescent="0.3">
      <c r="A15" s="10">
        <v>2026</v>
      </c>
      <c r="B15" s="5" t="s">
        <v>131</v>
      </c>
      <c r="C15" s="5" t="s">
        <v>44</v>
      </c>
      <c r="D15" s="5" t="s">
        <v>136</v>
      </c>
      <c r="E15" s="5" t="s">
        <v>133</v>
      </c>
      <c r="F15" s="5" t="s">
        <v>136</v>
      </c>
      <c r="G15" s="6">
        <v>402</v>
      </c>
      <c r="H15" s="14">
        <v>2.8</v>
      </c>
      <c r="I15" s="18">
        <f>+G15*H15*1000</f>
        <v>1125600</v>
      </c>
    </row>
    <row r="16" spans="1:12" x14ac:dyDescent="0.3">
      <c r="A16" s="10">
        <v>2026</v>
      </c>
      <c r="B16" s="5" t="s">
        <v>131</v>
      </c>
      <c r="C16" s="5" t="s">
        <v>61</v>
      </c>
      <c r="D16" s="5" t="s">
        <v>132</v>
      </c>
      <c r="E16" s="5" t="s">
        <v>135</v>
      </c>
      <c r="F16" s="5" t="s">
        <v>137</v>
      </c>
      <c r="G16" s="6">
        <v>3913.92</v>
      </c>
      <c r="H16" s="14">
        <v>0.97</v>
      </c>
      <c r="I16" s="18">
        <f>+G16*H16*1000</f>
        <v>3796502.4</v>
      </c>
    </row>
    <row r="17" spans="1:9" x14ac:dyDescent="0.3">
      <c r="A17" s="10">
        <v>2026</v>
      </c>
      <c r="B17" s="5" t="s">
        <v>131</v>
      </c>
      <c r="C17" s="5" t="s">
        <v>61</v>
      </c>
      <c r="D17" s="5" t="s">
        <v>132</v>
      </c>
      <c r="E17" s="5" t="s">
        <v>135</v>
      </c>
      <c r="F17" s="5" t="s">
        <v>138</v>
      </c>
      <c r="G17" s="6">
        <v>4872.96</v>
      </c>
      <c r="H17" s="14">
        <v>0.97</v>
      </c>
      <c r="I17" s="18">
        <f>+G17*H17*1000</f>
        <v>4726771.2</v>
      </c>
    </row>
    <row r="18" spans="1:9" x14ac:dyDescent="0.3">
      <c r="A18" s="10">
        <v>2026</v>
      </c>
      <c r="B18" s="5" t="s">
        <v>131</v>
      </c>
      <c r="C18" s="5" t="s">
        <v>61</v>
      </c>
      <c r="D18" s="5" t="s">
        <v>132</v>
      </c>
      <c r="E18" s="5" t="s">
        <v>135</v>
      </c>
      <c r="F18" s="5" t="s">
        <v>139</v>
      </c>
      <c r="G18" s="6">
        <v>4790.2079999999996</v>
      </c>
      <c r="H18" s="14">
        <v>0.97</v>
      </c>
      <c r="I18" s="18">
        <f>+G18*H18*1000</f>
        <v>4646501.7599999988</v>
      </c>
    </row>
    <row r="19" spans="1:9" x14ac:dyDescent="0.3">
      <c r="A19" s="10">
        <v>2026</v>
      </c>
      <c r="B19" s="5" t="s">
        <v>131</v>
      </c>
      <c r="C19" s="5" t="s">
        <v>61</v>
      </c>
      <c r="D19" s="5" t="s">
        <v>136</v>
      </c>
      <c r="E19" s="5" t="s">
        <v>133</v>
      </c>
      <c r="F19" s="5" t="s">
        <v>136</v>
      </c>
      <c r="G19" s="6">
        <v>11540</v>
      </c>
      <c r="H19" s="14">
        <v>0.156</v>
      </c>
      <c r="I19" s="18">
        <f>+G19*H19*1000</f>
        <v>1800240</v>
      </c>
    </row>
    <row r="20" spans="1:9" x14ac:dyDescent="0.3">
      <c r="A20" s="10">
        <v>2026</v>
      </c>
      <c r="B20" s="5" t="s">
        <v>131</v>
      </c>
      <c r="C20" s="5" t="s">
        <v>72</v>
      </c>
      <c r="D20" s="5" t="s">
        <v>140</v>
      </c>
      <c r="E20" s="5" t="s">
        <v>140</v>
      </c>
      <c r="F20" s="5" t="s">
        <v>140</v>
      </c>
      <c r="G20" s="6"/>
      <c r="H20" s="14"/>
      <c r="I20" s="18" t="str">
        <f>IF(OR(G20="",H20=""),"",G20*1000*H20)</f>
        <v/>
      </c>
    </row>
    <row r="21" spans="1:9" x14ac:dyDescent="0.3">
      <c r="A21" s="10">
        <v>2026</v>
      </c>
      <c r="B21" s="5" t="s">
        <v>68</v>
      </c>
      <c r="C21" s="5" t="s">
        <v>141</v>
      </c>
      <c r="D21" s="5" t="s">
        <v>140</v>
      </c>
      <c r="E21" s="5" t="s">
        <v>140</v>
      </c>
      <c r="F21" s="5" t="s">
        <v>140</v>
      </c>
      <c r="G21" s="6"/>
      <c r="H21" s="21"/>
      <c r="I21" s="22">
        <v>1973600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workbookViewId="0">
      <pane xSplit="2" ySplit="14" topLeftCell="C27" activePane="bottomRight" state="frozen"/>
      <selection pane="topRight"/>
      <selection pane="bottomLeft"/>
      <selection pane="bottomRight" activeCell="I20" sqref="I20"/>
    </sheetView>
  </sheetViews>
  <sheetFormatPr baseColWidth="10" defaultColWidth="8.88671875" defaultRowHeight="14.4" x14ac:dyDescent="0.3"/>
  <cols>
    <col min="1" max="1" width="14" customWidth="1"/>
    <col min="2" max="2" width="30" customWidth="1"/>
    <col min="3" max="3" width="18" customWidth="1"/>
    <col min="4" max="4" width="20" customWidth="1"/>
    <col min="5" max="13" width="13" customWidth="1"/>
  </cols>
  <sheetData>
    <row r="1" spans="1:14" ht="17.399999999999999" x14ac:dyDescent="0.35">
      <c r="A1" s="60" t="s">
        <v>142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 x14ac:dyDescent="0.3">
      <c r="A2" s="58" t="s">
        <v>143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1:14" x14ac:dyDescent="0.3">
      <c r="A3" s="57" t="s">
        <v>144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14" ht="6" customHeight="1" x14ac:dyDescent="0.3"/>
    <row r="5" spans="1:14" ht="18" customHeight="1" x14ac:dyDescent="0.3">
      <c r="A5" s="59" t="s">
        <v>145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</row>
    <row r="6" spans="1:14" ht="18" customHeight="1" x14ac:dyDescent="0.3">
      <c r="A6" s="23" t="s">
        <v>146</v>
      </c>
      <c r="B6" s="23" t="s">
        <v>147</v>
      </c>
      <c r="C6" s="23" t="s">
        <v>148</v>
      </c>
      <c r="D6" s="23" t="s">
        <v>149</v>
      </c>
    </row>
    <row r="7" spans="1:14" ht="18" customHeight="1" x14ac:dyDescent="0.3">
      <c r="A7" s="40" t="s">
        <v>150</v>
      </c>
      <c r="B7" s="41" t="s">
        <v>151</v>
      </c>
      <c r="C7" s="42">
        <v>1263000</v>
      </c>
      <c r="D7" s="39">
        <v>7.5358999999999998</v>
      </c>
    </row>
    <row r="8" spans="1:14" ht="18" customHeight="1" x14ac:dyDescent="0.3">
      <c r="A8" s="40" t="s">
        <v>150</v>
      </c>
      <c r="B8" s="41" t="s">
        <v>152</v>
      </c>
      <c r="C8" s="42">
        <v>537000</v>
      </c>
      <c r="D8" s="39">
        <v>2.8</v>
      </c>
    </row>
    <row r="9" spans="1:14" ht="18" customHeight="1" x14ac:dyDescent="0.3">
      <c r="A9" s="43" t="s">
        <v>153</v>
      </c>
      <c r="B9" s="44" t="s">
        <v>151</v>
      </c>
      <c r="C9" s="42">
        <v>13577088</v>
      </c>
      <c r="D9" s="39">
        <v>0.97</v>
      </c>
    </row>
    <row r="10" spans="1:14" ht="18" customHeight="1" x14ac:dyDescent="0.3">
      <c r="A10" s="43" t="s">
        <v>153</v>
      </c>
      <c r="B10" s="44" t="s">
        <v>152</v>
      </c>
      <c r="C10" s="42">
        <v>11540000</v>
      </c>
      <c r="D10" s="39">
        <v>0.156</v>
      </c>
    </row>
    <row r="11" spans="1:14" ht="7.95" customHeight="1" x14ac:dyDescent="0.3"/>
    <row r="13" spans="1:14" ht="18" customHeight="1" x14ac:dyDescent="0.3">
      <c r="A13" s="59" t="s">
        <v>154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18" customHeight="1" x14ac:dyDescent="0.3">
      <c r="A14" s="23" t="s">
        <v>146</v>
      </c>
      <c r="B14" s="23" t="s">
        <v>155</v>
      </c>
      <c r="C14" s="23" t="s">
        <v>156</v>
      </c>
      <c r="D14" s="23" t="s">
        <v>157</v>
      </c>
      <c r="E14" s="23" t="s">
        <v>158</v>
      </c>
      <c r="F14" s="23" t="s">
        <v>159</v>
      </c>
      <c r="G14" s="23" t="s">
        <v>160</v>
      </c>
      <c r="H14" s="23" t="s">
        <v>161</v>
      </c>
      <c r="I14" s="23" t="s">
        <v>162</v>
      </c>
      <c r="J14" s="23" t="s">
        <v>163</v>
      </c>
      <c r="K14" s="23" t="s">
        <v>164</v>
      </c>
      <c r="L14" s="23" t="s">
        <v>165</v>
      </c>
      <c r="M14" s="23" t="s">
        <v>166</v>
      </c>
    </row>
    <row r="15" spans="1:14" ht="18" customHeight="1" x14ac:dyDescent="0.3">
      <c r="A15" s="45" t="s">
        <v>150</v>
      </c>
      <c r="B15" s="41" t="s">
        <v>167</v>
      </c>
      <c r="C15" s="30">
        <v>0.70169999999999999</v>
      </c>
      <c r="D15" s="30">
        <v>0.70169999999999999</v>
      </c>
      <c r="E15" s="30">
        <v>0.70169999999999999</v>
      </c>
      <c r="F15" s="30">
        <v>0.70169999999999999</v>
      </c>
      <c r="G15" s="30">
        <v>0.70169999999999999</v>
      </c>
      <c r="H15" s="30">
        <v>0.70169999999999999</v>
      </c>
      <c r="I15" s="30">
        <v>0.70169999999999999</v>
      </c>
      <c r="J15" s="30">
        <v>0.70169999999999999</v>
      </c>
      <c r="K15" s="30">
        <v>0.70169999999999999</v>
      </c>
      <c r="L15" s="30">
        <v>0.70169999999999999</v>
      </c>
      <c r="M15" s="30">
        <v>0.70169999999999999</v>
      </c>
    </row>
    <row r="16" spans="1:14" ht="18" customHeight="1" x14ac:dyDescent="0.3">
      <c r="A16" s="40"/>
      <c r="B16" s="41" t="s">
        <v>168</v>
      </c>
      <c r="C16" s="31">
        <f>+Kg_proyectados!B13*Proyeccion_com!C15</f>
        <v>0</v>
      </c>
      <c r="D16" s="31">
        <f>+Kg_proyectados!C13*Proyeccion_com!D15</f>
        <v>26313.75</v>
      </c>
      <c r="E16" s="31">
        <f>+Kg_proyectados!D13*Proyeccion_com!E15</f>
        <v>157882.5</v>
      </c>
      <c r="F16" s="31">
        <f>+Kg_proyectados!E13*Proyeccion_com!F15</f>
        <v>473647.5</v>
      </c>
      <c r="G16" s="31">
        <f>+Kg_proyectados!F13*Proyeccion_com!G15</f>
        <v>936769.5</v>
      </c>
      <c r="H16" s="31">
        <f>+Kg_proyectados!G13*Proyeccion_com!H15</f>
        <v>936769.5</v>
      </c>
      <c r="I16" s="31">
        <f>+Kg_proyectados!H13*Proyeccion_com!I15</f>
        <v>936769.5</v>
      </c>
      <c r="J16" s="31">
        <f>+Kg_proyectados!I13*Proyeccion_com!J15</f>
        <v>936769.5</v>
      </c>
      <c r="K16" s="31">
        <f>+Kg_proyectados!J13*Proyeccion_com!K15</f>
        <v>936769.5</v>
      </c>
      <c r="L16" s="31">
        <f>+Kg_proyectados!K13*Proyeccion_com!L15</f>
        <v>936769.5</v>
      </c>
      <c r="M16" s="31">
        <f>+Kg_proyectados!L13*Proyeccion_com!M15</f>
        <v>815726.25</v>
      </c>
    </row>
    <row r="17" spans="1:13" ht="18" customHeight="1" x14ac:dyDescent="0.3">
      <c r="A17" s="40"/>
      <c r="B17" s="41" t="s">
        <v>169</v>
      </c>
      <c r="C17" s="31">
        <f>+Kg_proyectados!B13*(1-Proyeccion_com!C15)</f>
        <v>0</v>
      </c>
      <c r="D17" s="31">
        <f>+Kg_proyectados!C13*(1-Proyeccion_com!D15)</f>
        <v>11186.25</v>
      </c>
      <c r="E17" s="31">
        <f>+Kg_proyectados!D13*(1-Proyeccion_com!E15)</f>
        <v>67117.5</v>
      </c>
      <c r="F17" s="31">
        <f>+Kg_proyectados!E13*(1-Proyeccion_com!F15)</f>
        <v>201352.5</v>
      </c>
      <c r="G17" s="31">
        <f>+Kg_proyectados!F13*(1-Proyeccion_com!G15)</f>
        <v>398230.5</v>
      </c>
      <c r="H17" s="31">
        <f>+Kg_proyectados!G13*(1-Proyeccion_com!H15)</f>
        <v>398230.5</v>
      </c>
      <c r="I17" s="31">
        <f>+Kg_proyectados!H13*(1-Proyeccion_com!I15)</f>
        <v>398230.5</v>
      </c>
      <c r="J17" s="31">
        <f>+Kg_proyectados!I13*(1-Proyeccion_com!J15)</f>
        <v>398230.5</v>
      </c>
      <c r="K17" s="31">
        <f>+Kg_proyectados!J13*(1-Proyeccion_com!K15)</f>
        <v>398230.5</v>
      </c>
      <c r="L17" s="31">
        <f>+Kg_proyectados!K13*(1-Proyeccion_com!L15)</f>
        <v>398230.5</v>
      </c>
      <c r="M17" s="31">
        <f>+Kg_proyectados!L13*(1-Proyeccion_com!M15)</f>
        <v>346773.75</v>
      </c>
    </row>
    <row r="18" spans="1:13" ht="18" customHeight="1" x14ac:dyDescent="0.3">
      <c r="A18" s="40"/>
      <c r="B18" s="41" t="s">
        <v>170</v>
      </c>
      <c r="C18" s="46">
        <f t="shared" ref="C18:M18" si="0">$D$7</f>
        <v>7.5358999999999998</v>
      </c>
      <c r="D18" s="46">
        <f t="shared" si="0"/>
        <v>7.5358999999999998</v>
      </c>
      <c r="E18" s="46">
        <f t="shared" si="0"/>
        <v>7.5358999999999998</v>
      </c>
      <c r="F18" s="46">
        <f t="shared" si="0"/>
        <v>7.5358999999999998</v>
      </c>
      <c r="G18" s="46">
        <f t="shared" si="0"/>
        <v>7.5358999999999998</v>
      </c>
      <c r="H18" s="46">
        <f t="shared" si="0"/>
        <v>7.5358999999999998</v>
      </c>
      <c r="I18" s="46">
        <f t="shared" si="0"/>
        <v>7.5358999999999998</v>
      </c>
      <c r="J18" s="46">
        <f t="shared" si="0"/>
        <v>7.5358999999999998</v>
      </c>
      <c r="K18" s="46">
        <f t="shared" si="0"/>
        <v>7.5358999999999998</v>
      </c>
      <c r="L18" s="46">
        <f t="shared" si="0"/>
        <v>7.5358999999999998</v>
      </c>
      <c r="M18" s="46">
        <f t="shared" si="0"/>
        <v>7.5358999999999998</v>
      </c>
    </row>
    <row r="19" spans="1:13" ht="18" customHeight="1" x14ac:dyDescent="0.3">
      <c r="A19" s="40"/>
      <c r="B19" s="41" t="s">
        <v>171</v>
      </c>
      <c r="C19" s="46">
        <f t="shared" ref="C19:M19" si="1">$D$8</f>
        <v>2.8</v>
      </c>
      <c r="D19" s="46">
        <f t="shared" si="1"/>
        <v>2.8</v>
      </c>
      <c r="E19" s="46">
        <f t="shared" si="1"/>
        <v>2.8</v>
      </c>
      <c r="F19" s="46">
        <f t="shared" si="1"/>
        <v>2.8</v>
      </c>
      <c r="G19" s="46">
        <f t="shared" si="1"/>
        <v>2.8</v>
      </c>
      <c r="H19" s="46">
        <f t="shared" si="1"/>
        <v>2.8</v>
      </c>
      <c r="I19" s="46">
        <f t="shared" si="1"/>
        <v>2.8</v>
      </c>
      <c r="J19" s="46">
        <f t="shared" si="1"/>
        <v>2.8</v>
      </c>
      <c r="K19" s="46">
        <f t="shared" si="1"/>
        <v>2.8</v>
      </c>
      <c r="L19" s="46">
        <f t="shared" si="1"/>
        <v>2.8</v>
      </c>
      <c r="M19" s="46">
        <f t="shared" si="1"/>
        <v>2.8</v>
      </c>
    </row>
    <row r="20" spans="1:13" ht="18" customHeight="1" x14ac:dyDescent="0.3">
      <c r="A20" s="40"/>
      <c r="B20" s="47" t="s">
        <v>172</v>
      </c>
      <c r="C20" s="32">
        <f>(Kg_proyectados!B12*C15+C16)*C18+(Kg_proyectados!B12*(1-C15)+C17)*C19</f>
        <v>9820020.9609573502</v>
      </c>
      <c r="D20" s="32">
        <f>(Kg_proyectados!C12*D15+D16)*D18+(Kg_proyectados!C12*(1-D15)+D17)*D19</f>
        <v>10322121.805417348</v>
      </c>
      <c r="E20" s="32">
        <f>(Kg_proyectados!D12*E15+E16)*E18+(Kg_proyectados!D12*(1-E15)+E17)*E19</f>
        <v>11024750.609489577</v>
      </c>
      <c r="F20" s="32">
        <f>(Kg_proyectados!E12*F15+F16)*F18+(Kg_proyectados!E12*(1-F15)+F17)*F19</f>
        <v>12872776.160279391</v>
      </c>
      <c r="G20" s="32">
        <f>(Kg_proyectados!F12*G15+G16)*G18+(Kg_proyectados!F12*(1-G15)+G17)*G19</f>
        <v>19103032.822402671</v>
      </c>
      <c r="H20" s="32">
        <f>(Kg_proyectados!G12*H15+H16)*H18+(Kg_proyectados!G12*(1-H15)+H17)*H19</f>
        <v>27684671.035947669</v>
      </c>
      <c r="I20" s="32">
        <f>(Kg_proyectados!H12*I15+I16)*I18+(Kg_proyectados!H12*(1-I15)+I17)*I19</f>
        <v>34677343.77220767</v>
      </c>
      <c r="J20" s="32">
        <f>(Kg_proyectados!I12*J15+J16)*J18+(Kg_proyectados!I12*(1-J15)+J17)*J19</f>
        <v>37425427.418471664</v>
      </c>
      <c r="K20" s="32">
        <f>(Kg_proyectados!J12*K15+K16)*K18+(Kg_proyectados!J12*(1-K15)+K17)*K19</f>
        <v>37425427.418471664</v>
      </c>
      <c r="L20" s="32">
        <f>(Kg_proyectados!K12*L15+L16)*L18+(Kg_proyectados!K12*(1-L15)+L17)*L19</f>
        <v>37200094.356567673</v>
      </c>
      <c r="M20" s="32">
        <f>(Kg_proyectados!L12*M15+M16)*M18+(Kg_proyectados!L12*(1-M15)+M17)*M19</f>
        <v>35821153.988611668</v>
      </c>
    </row>
    <row r="21" spans="1:13" ht="18" customHeight="1" x14ac:dyDescent="0.3">
      <c r="A21" s="48" t="s">
        <v>153</v>
      </c>
      <c r="B21" s="44" t="s">
        <v>167</v>
      </c>
      <c r="C21" s="30">
        <v>0.54059999999999997</v>
      </c>
      <c r="D21" s="30">
        <v>0.54059999999999997</v>
      </c>
      <c r="E21" s="30">
        <v>0.54059999999999997</v>
      </c>
      <c r="F21" s="30">
        <v>0.54059999999999997</v>
      </c>
      <c r="G21" s="30">
        <v>0.54059999999999997</v>
      </c>
      <c r="H21" s="30">
        <v>0.54059999999999997</v>
      </c>
      <c r="I21" s="30">
        <v>0.54059999999999997</v>
      </c>
      <c r="J21" s="30">
        <v>0.54059999999999997</v>
      </c>
      <c r="K21" s="30">
        <v>0.54059999999999997</v>
      </c>
      <c r="L21" s="30">
        <v>0.54059999999999997</v>
      </c>
      <c r="M21" s="30">
        <v>0.54059999999999997</v>
      </c>
    </row>
    <row r="22" spans="1:13" ht="18" customHeight="1" x14ac:dyDescent="0.3">
      <c r="A22" s="43"/>
      <c r="B22" s="44" t="s">
        <v>168</v>
      </c>
      <c r="C22" s="31">
        <f>+Kg_proyectados!B20*Proyeccion_com!C21</f>
        <v>8929416.1818000004</v>
      </c>
      <c r="D22" s="31">
        <f>+Kg_proyectados!C20*Proyeccion_com!D21</f>
        <v>10907941.3632</v>
      </c>
      <c r="E22" s="31">
        <f>+Kg_proyectados!D20*Proyeccion_com!E21</f>
        <v>15773341.3632</v>
      </c>
      <c r="F22" s="31">
        <f>+Kg_proyectados!E20*Proyeccion_com!F21</f>
        <v>20227102.033799998</v>
      </c>
      <c r="G22" s="31">
        <f>+Kg_proyectados!F20*Proyeccion_com!G21</f>
        <v>21299965.981799997</v>
      </c>
      <c r="H22" s="31">
        <f>+Kg_proyectados!G20*Proyeccion_com!H21</f>
        <v>21299965.981799997</v>
      </c>
      <c r="I22" s="31">
        <f>+Kg_proyectados!H20*Proyeccion_com!I21</f>
        <v>21299965.981799997</v>
      </c>
      <c r="J22" s="31">
        <f>+Kg_proyectados!I20*Proyeccion_com!J21</f>
        <v>21299965.981799997</v>
      </c>
      <c r="K22" s="31">
        <f>+Kg_proyectados!J20*Proyeccion_com!K21</f>
        <v>21299965.981799997</v>
      </c>
      <c r="L22" s="31">
        <f>+Kg_proyectados!K20*Proyeccion_com!L21</f>
        <v>21299965.981799997</v>
      </c>
      <c r="M22" s="31">
        <f>+Kg_proyectados!L20*Proyeccion_com!M21</f>
        <v>21299965.981799997</v>
      </c>
    </row>
    <row r="23" spans="1:13" ht="18" customHeight="1" x14ac:dyDescent="0.3">
      <c r="A23" s="43"/>
      <c r="B23" s="44" t="s">
        <v>169</v>
      </c>
      <c r="C23" s="31">
        <f>+Kg_proyectados!B20*(1-Proyeccion_com!C21)</f>
        <v>7588186.8182000006</v>
      </c>
      <c r="D23" s="31">
        <f>+Kg_proyectados!C20*(1-Proyeccion_com!D21)</f>
        <v>9269530.6368000004</v>
      </c>
      <c r="E23" s="31">
        <f>+Kg_proyectados!D20*(1-Proyeccion_com!E21)</f>
        <v>13404130.6368</v>
      </c>
      <c r="F23" s="31">
        <f>+Kg_proyectados!E20*(1-Proyeccion_com!F21)</f>
        <v>17188920.966200002</v>
      </c>
      <c r="G23" s="31">
        <f>+Kg_proyectados!F20*(1-Proyeccion_com!G21)</f>
        <v>18100637.018200003</v>
      </c>
      <c r="H23" s="31">
        <f>+Kg_proyectados!G20*(1-Proyeccion_com!H21)</f>
        <v>18100637.018200003</v>
      </c>
      <c r="I23" s="31">
        <f>+Kg_proyectados!H20*(1-Proyeccion_com!I21)</f>
        <v>18100637.018200003</v>
      </c>
      <c r="J23" s="31">
        <f>+Kg_proyectados!I20*(1-Proyeccion_com!J21)</f>
        <v>18100637.018200003</v>
      </c>
      <c r="K23" s="31">
        <f>+Kg_proyectados!J20*(1-Proyeccion_com!K21)</f>
        <v>18100637.018200003</v>
      </c>
      <c r="L23" s="31">
        <f>+Kg_proyectados!K20*(1-Proyeccion_com!L21)</f>
        <v>18100637.018200003</v>
      </c>
      <c r="M23" s="31">
        <f>+Kg_proyectados!L20*(1-Proyeccion_com!M21)</f>
        <v>18100637.018200003</v>
      </c>
    </row>
    <row r="24" spans="1:13" ht="18" customHeight="1" x14ac:dyDescent="0.3">
      <c r="A24" s="43"/>
      <c r="B24" s="44" t="s">
        <v>170</v>
      </c>
      <c r="C24" s="46">
        <f t="shared" ref="C24:M24" si="2">$D$9</f>
        <v>0.97</v>
      </c>
      <c r="D24" s="46">
        <f t="shared" si="2"/>
        <v>0.97</v>
      </c>
      <c r="E24" s="46">
        <f t="shared" si="2"/>
        <v>0.97</v>
      </c>
      <c r="F24" s="46">
        <f t="shared" si="2"/>
        <v>0.97</v>
      </c>
      <c r="G24" s="46">
        <f t="shared" si="2"/>
        <v>0.97</v>
      </c>
      <c r="H24" s="46">
        <f t="shared" si="2"/>
        <v>0.97</v>
      </c>
      <c r="I24" s="46">
        <f t="shared" si="2"/>
        <v>0.97</v>
      </c>
      <c r="J24" s="46">
        <f t="shared" si="2"/>
        <v>0.97</v>
      </c>
      <c r="K24" s="46">
        <f t="shared" si="2"/>
        <v>0.97</v>
      </c>
      <c r="L24" s="46">
        <f t="shared" si="2"/>
        <v>0.97</v>
      </c>
      <c r="M24" s="46">
        <f t="shared" si="2"/>
        <v>0.97</v>
      </c>
    </row>
    <row r="25" spans="1:13" ht="18" customHeight="1" x14ac:dyDescent="0.3">
      <c r="A25" s="43"/>
      <c r="B25" s="44" t="s">
        <v>171</v>
      </c>
      <c r="C25" s="46">
        <f t="shared" ref="C25:M25" si="3">$D$10</f>
        <v>0.156</v>
      </c>
      <c r="D25" s="46">
        <f t="shared" si="3"/>
        <v>0.156</v>
      </c>
      <c r="E25" s="46">
        <f t="shared" si="3"/>
        <v>0.156</v>
      </c>
      <c r="F25" s="46">
        <f t="shared" si="3"/>
        <v>0.156</v>
      </c>
      <c r="G25" s="46">
        <f t="shared" si="3"/>
        <v>0.156</v>
      </c>
      <c r="H25" s="46">
        <f t="shared" si="3"/>
        <v>0.156</v>
      </c>
      <c r="I25" s="46">
        <f t="shared" si="3"/>
        <v>0.156</v>
      </c>
      <c r="J25" s="46">
        <f t="shared" si="3"/>
        <v>0.156</v>
      </c>
      <c r="K25" s="46">
        <f t="shared" si="3"/>
        <v>0.156</v>
      </c>
      <c r="L25" s="46">
        <f t="shared" si="3"/>
        <v>0.156</v>
      </c>
      <c r="M25" s="46">
        <f t="shared" si="3"/>
        <v>0.156</v>
      </c>
    </row>
    <row r="26" spans="1:13" ht="18" customHeight="1" x14ac:dyDescent="0.3">
      <c r="A26" s="43"/>
      <c r="B26" s="47" t="s">
        <v>172</v>
      </c>
      <c r="C26" s="32">
        <f>(Kg_proyectados!B19*C21+C22)*C24+(Kg_proyectados!B19*(1-C21)+C23)*C25</f>
        <v>14970947.662799999</v>
      </c>
      <c r="D26" s="32">
        <f>(Kg_proyectados!C19*D21+D22)*D24+(Kg_proyectados!C19*(1-D21)+D23)*D25</f>
        <v>17881452</v>
      </c>
      <c r="E26" s="32">
        <f>(Kg_proyectados!D19*E21+E22)*E24+(Kg_proyectados!D19*(1-E21)+E23)*E25</f>
        <v>23841936</v>
      </c>
      <c r="F26" s="32">
        <f>(Kg_proyectados!E19*F21+F22)*F24+(Kg_proyectados!E19*(1-F21)+F23)*F25</f>
        <v>28610323.199999999</v>
      </c>
      <c r="G26" s="32">
        <f>(Kg_proyectados!F19*G21+G22)*G24+(Kg_proyectados!F19*(1-G21)+G23)*G25</f>
        <v>28610323.199999996</v>
      </c>
      <c r="H26" s="32">
        <f>(Kg_proyectados!G19*H21+H22)*H24+(Kg_proyectados!G19*(1-H21)+H23)*H25</f>
        <v>28610323.199999996</v>
      </c>
      <c r="I26" s="32">
        <f>(Kg_proyectados!H19*I21+I22)*I24+(Kg_proyectados!H19*(1-I21)+I23)*I25</f>
        <v>28610323.199999996</v>
      </c>
      <c r="J26" s="32">
        <f>(Kg_proyectados!I19*J21+J22)*J24+(Kg_proyectados!I19*(1-J21)+J23)*J25</f>
        <v>28610323.199999996</v>
      </c>
      <c r="K26" s="32">
        <f>(Kg_proyectados!J19*K21+K22)*K24+(Kg_proyectados!J19*(1-K21)+K23)*K25</f>
        <v>28610323.199999996</v>
      </c>
      <c r="L26" s="32">
        <f>(Kg_proyectados!K19*L21+L22)*L24+(Kg_proyectados!K19*(1-L21)+L23)*L25</f>
        <v>28610323.199999996</v>
      </c>
      <c r="M26" s="32">
        <f>(Kg_proyectados!L19*M21+M22)*M24+(Kg_proyectados!L19*(1-M21)+M23)*M25</f>
        <v>28610323.199999996</v>
      </c>
    </row>
    <row r="27" spans="1:13" ht="18" customHeight="1" x14ac:dyDescent="0.3">
      <c r="A27" s="49" t="s">
        <v>173</v>
      </c>
      <c r="B27" s="50" t="s">
        <v>167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</row>
    <row r="28" spans="1:13" ht="18" customHeight="1" x14ac:dyDescent="0.3">
      <c r="A28" s="51"/>
      <c r="B28" s="50" t="s">
        <v>168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</row>
    <row r="29" spans="1:13" ht="18" customHeight="1" x14ac:dyDescent="0.3">
      <c r="A29" s="51"/>
      <c r="B29" s="50" t="s">
        <v>169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</row>
    <row r="30" spans="1:13" ht="18" customHeight="1" x14ac:dyDescent="0.3">
      <c r="A30" s="51"/>
      <c r="B30" s="50" t="s">
        <v>170</v>
      </c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</row>
    <row r="31" spans="1:13" ht="18" customHeight="1" x14ac:dyDescent="0.3">
      <c r="A31" s="51"/>
      <c r="B31" s="50" t="s">
        <v>171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</row>
    <row r="32" spans="1:13" ht="18" customHeight="1" x14ac:dyDescent="0.3">
      <c r="A32" s="51"/>
      <c r="B32" s="47" t="s">
        <v>172</v>
      </c>
      <c r="C32" s="33">
        <v>0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</row>
    <row r="33" spans="1:14" ht="22.05" customHeight="1" x14ac:dyDescent="0.3">
      <c r="A33" s="53" t="s">
        <v>174</v>
      </c>
      <c r="B33" s="54" t="s">
        <v>172</v>
      </c>
      <c r="C33" s="34">
        <f t="shared" ref="C33:M33" si="4">C20+C26+C32</f>
        <v>24790968.623757347</v>
      </c>
      <c r="D33" s="34">
        <f t="shared" si="4"/>
        <v>28203573.805417348</v>
      </c>
      <c r="E33" s="34">
        <f t="shared" si="4"/>
        <v>34866686.609489575</v>
      </c>
      <c r="F33" s="34">
        <f t="shared" si="4"/>
        <v>41483099.360279389</v>
      </c>
      <c r="G33" s="34">
        <f t="shared" si="4"/>
        <v>47713356.022402667</v>
      </c>
      <c r="H33" s="34">
        <f t="shared" si="4"/>
        <v>56294994.235947669</v>
      </c>
      <c r="I33" s="34">
        <f t="shared" si="4"/>
        <v>63287666.972207665</v>
      </c>
      <c r="J33" s="34">
        <f t="shared" si="4"/>
        <v>66035750.61847166</v>
      </c>
      <c r="K33" s="34">
        <f t="shared" si="4"/>
        <v>66035750.61847166</v>
      </c>
      <c r="L33" s="34">
        <f t="shared" si="4"/>
        <v>65810417.556567669</v>
      </c>
      <c r="M33" s="34">
        <f t="shared" si="4"/>
        <v>64431477.188611664</v>
      </c>
    </row>
    <row r="35" spans="1:14" x14ac:dyDescent="0.3">
      <c r="A35" s="58" t="s">
        <v>175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</row>
  </sheetData>
  <mergeCells count="6">
    <mergeCell ref="A1:N1"/>
    <mergeCell ref="A3:N3"/>
    <mergeCell ref="A35:N35"/>
    <mergeCell ref="A2:N2"/>
    <mergeCell ref="A5:N5"/>
    <mergeCell ref="A13:N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pane xSplit="1" ySplit="4" topLeftCell="B5" activePane="bottomRight" state="frozen"/>
      <selection pane="topRight"/>
      <selection pane="bottomLeft"/>
      <selection pane="bottomRight" activeCell="F12" sqref="F12"/>
    </sheetView>
  </sheetViews>
  <sheetFormatPr baseColWidth="10" defaultColWidth="8.88671875" defaultRowHeight="14.4" x14ac:dyDescent="0.3"/>
  <cols>
    <col min="1" max="1" width="22" customWidth="1"/>
    <col min="2" max="12" width="13" customWidth="1"/>
  </cols>
  <sheetData>
    <row r="1" spans="1:12" ht="15.6" x14ac:dyDescent="0.3">
      <c r="A1" s="62" t="s">
        <v>176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x14ac:dyDescent="0.3">
      <c r="A2" s="61" t="s">
        <v>177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4" spans="1:12" ht="18" customHeight="1" x14ac:dyDescent="0.3">
      <c r="A4" s="23" t="s">
        <v>178</v>
      </c>
      <c r="B4" s="23" t="s">
        <v>156</v>
      </c>
      <c r="C4" s="23" t="s">
        <v>157</v>
      </c>
      <c r="D4" s="23" t="s">
        <v>158</v>
      </c>
      <c r="E4" s="23" t="s">
        <v>159</v>
      </c>
      <c r="F4" s="23" t="s">
        <v>160</v>
      </c>
      <c r="G4" s="23" t="s">
        <v>161</v>
      </c>
      <c r="H4" s="23" t="s">
        <v>162</v>
      </c>
      <c r="I4" s="23" t="s">
        <v>163</v>
      </c>
      <c r="J4" s="23" t="s">
        <v>164</v>
      </c>
      <c r="K4" s="23" t="s">
        <v>165</v>
      </c>
      <c r="L4" s="23" t="s">
        <v>166</v>
      </c>
    </row>
    <row r="5" spans="1:12" ht="13.95" customHeight="1" x14ac:dyDescent="0.3">
      <c r="A5" s="24" t="s">
        <v>179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2" ht="18" customHeight="1" x14ac:dyDescent="0.3">
      <c r="A6" s="40" t="s">
        <v>45</v>
      </c>
      <c r="B6" s="35">
        <f>MAX(0,Campos!$F$2)*Arandano_2026!$D$2</f>
        <v>702371.99999999988</v>
      </c>
      <c r="C6" s="35">
        <f>MAX(0,Campos!$F$2)*Arandano_2026!$D$2+9*Curvas_rinde!C$2</f>
        <v>706871.99999999988</v>
      </c>
      <c r="D6" s="35">
        <f>MAX(0,Campos!$F$2-(21.5))*Arandano_2026!$D$2+9*Curvas_rinde!D$2+8.5*Curvas_rinde!C$2+21.5*Curvas_rinde!C$2</f>
        <v>549520.41290322575</v>
      </c>
      <c r="E6" s="35">
        <f>MAX(0,Campos!$F$2-(21.5+27))*Arandano_2026!$D$2+9*Curvas_rinde!E$2+8.5*Curvas_rinde!D$2+21.5*Curvas_rinde!D$2+27*Curvas_rinde!C$2</f>
        <v>447323.07096774189</v>
      </c>
      <c r="F6" s="35">
        <f>MAX(0,Campos!$F$2-(21.5+27+29))*Arandano_2026!$D$2+9*Curvas_rinde!F$2+8.5*Curvas_rinde!E$2+21.5*Curvas_rinde!E$2+27*Curvas_rinde!D$2+29*Curvas_rinde!C$2</f>
        <v>525700</v>
      </c>
      <c r="G6" s="35">
        <f>MAX(0,Campos!$F$2-(21.5+27+29))*Arandano_2026!$D$2+9*Curvas_rinde!G$2+8.5*Curvas_rinde!F$2+21.5*Curvas_rinde!F$2+27*Curvas_rinde!E$2+29*Curvas_rinde!D$2</f>
        <v>1024200</v>
      </c>
      <c r="H6" s="35">
        <f>MAX(0,Campos!$F$2-(21.5+27+29))*Arandano_2026!$D$2+9*Curvas_rinde!H$2+8.5*Curvas_rinde!G$2+21.5*Curvas_rinde!G$2+27*Curvas_rinde!F$2+29*Curvas_rinde!E$2</f>
        <v>1435800</v>
      </c>
      <c r="I6" s="35">
        <f>MAX(0,Campos!$F$2-(21.5+27+29))*Arandano_2026!$D$2+9*Curvas_rinde!I$2+8.5*Curvas_rinde!H$2+21.5*Curvas_rinde!H$2+27*Curvas_rinde!G$2+29*Curvas_rinde!F$2</f>
        <v>1691000</v>
      </c>
      <c r="J6" s="35">
        <f>MAX(0,Campos!$F$2-(21.5+27+29))*Arandano_2026!$D$2+9*Curvas_rinde!J$2+8.5*Curvas_rinde!I$2+21.5*Curvas_rinde!I$2+27*Curvas_rinde!H$2+29*Curvas_rinde!G$2</f>
        <v>1691000</v>
      </c>
      <c r="K6" s="35">
        <f>MAX(0,Campos!$F$2-(21.5+27+29))*Arandano_2026!$D$2+9*Curvas_rinde!K$2+8.5*Curvas_rinde!J$2+21.5*Curvas_rinde!J$2+27*Curvas_rinde!I$2+29*Curvas_rinde!H$2</f>
        <v>1691000</v>
      </c>
      <c r="L6" s="35">
        <f>MAX(0,Campos!$F$2-(21.5+27+29))*Arandano_2026!$D$2+9*Curvas_rinde!L$2+8.5*Curvas_rinde!K$2+21.5*Curvas_rinde!K$2+27*Curvas_rinde!J$2+29*Curvas_rinde!I$2</f>
        <v>1670300</v>
      </c>
    </row>
    <row r="7" spans="1:12" ht="18" customHeight="1" x14ac:dyDescent="0.3">
      <c r="A7" s="40" t="s">
        <v>49</v>
      </c>
      <c r="B7" s="35">
        <f>MAX(0,Campos!$F$3)*Arandano_2026!$D$3</f>
        <v>382194</v>
      </c>
      <c r="C7" s="35">
        <f>MAX(0,Campos!$F$3)*Arandano_2026!$D$3</f>
        <v>382194</v>
      </c>
      <c r="D7" s="35">
        <f>MAX(0,Campos!$F$3-(4))*Arandano_2026!$D$3+6*Curvas_rinde!C$2+4*Curvas_rinde!C$2</f>
        <v>350794.57142857142</v>
      </c>
      <c r="E7" s="35">
        <f>MAX(0,Campos!$F$3-(4+38))*Arandano_2026!$D$3+6*Curvas_rinde!D$2+4*Curvas_rinde!D$2+38*Curvas_rinde!C$2</f>
        <v>49000</v>
      </c>
      <c r="F7" s="35">
        <f>MAX(0,Campos!$F$3-(4+38))*Arandano_2026!$D$3+6*Curvas_rinde!E$2+4*Curvas_rinde!E$2+38*Curvas_rinde!D$2</f>
        <v>204000</v>
      </c>
      <c r="G7" s="35">
        <f>MAX(0,Campos!$F$3-(4+38))*Arandano_2026!$D$3+6*Curvas_rinde!F$2+4*Curvas_rinde!F$2+38*Curvas_rinde!E$2</f>
        <v>520000</v>
      </c>
      <c r="H7" s="35">
        <f>MAX(0,Campos!$F$3-(4+38))*Arandano_2026!$D$3+6*Curvas_rinde!G$2+4*Curvas_rinde!G$2+38*Curvas_rinde!F$2</f>
        <v>854400</v>
      </c>
      <c r="I7" s="35">
        <f>MAX(0,Campos!$F$3-(4+38))*Arandano_2026!$D$3+6*Curvas_rinde!H$2+4*Curvas_rinde!H$2+38*Curvas_rinde!G$2</f>
        <v>854400</v>
      </c>
      <c r="J7" s="35">
        <f>MAX(0,Campos!$F$3-(4+38))*Arandano_2026!$D$3+6*Curvas_rinde!I$2+4*Curvas_rinde!I$2+38*Curvas_rinde!H$2</f>
        <v>854400</v>
      </c>
      <c r="K7" s="35">
        <f>MAX(0,Campos!$F$3-(4+38))*Arandano_2026!$D$3+6*Curvas_rinde!J$2+4*Curvas_rinde!J$2+38*Curvas_rinde!I$2</f>
        <v>854400</v>
      </c>
      <c r="L7" s="35">
        <f>MAX(0,Campos!$F$3-(4+38))*Arandano_2026!$D$3+6*Curvas_rinde!K$2+4*Curvas_rinde!K$2+38*Curvas_rinde!J$2</f>
        <v>854400</v>
      </c>
    </row>
    <row r="8" spans="1:12" ht="18" customHeight="1" x14ac:dyDescent="0.3">
      <c r="A8" s="40" t="s">
        <v>52</v>
      </c>
      <c r="B8" s="35">
        <f>MAX(0,Campos!$F$4)*Arandano_2026!$D$4</f>
        <v>201890</v>
      </c>
      <c r="C8" s="35">
        <f>MAX(0,Campos!$F$4)*Arandano_2026!$D$4</f>
        <v>201890</v>
      </c>
      <c r="D8" s="35">
        <f>MAX(0,Campos!$F$4)*Arandano_2026!$D$4</f>
        <v>201890</v>
      </c>
      <c r="E8" s="35">
        <f>MAX(0,Campos!$F$4)*Arandano_2026!$D$4</f>
        <v>201890</v>
      </c>
      <c r="F8" s="35">
        <f>MAX(0,Campos!$F$4-(21.8))*Arandano_2026!$D$4+0.2*Curvas_rinde!C$2+21.8*Curvas_rinde!C$2</f>
        <v>11000</v>
      </c>
      <c r="G8" s="35">
        <f>MAX(0,Campos!$F$4-(21.8))*Arandano_2026!$D$4+0.2*Curvas_rinde!D$2+21.8*Curvas_rinde!D$2</f>
        <v>66000</v>
      </c>
      <c r="H8" s="35">
        <f>MAX(0,Campos!$F$4-(21.8))*Arandano_2026!$D$4+0.2*Curvas_rinde!E$2+21.8*Curvas_rinde!E$2</f>
        <v>198000</v>
      </c>
      <c r="I8" s="35">
        <f>MAX(0,Campos!$F$4-(21.8))*Arandano_2026!$D$4+0.2*Curvas_rinde!F$2+21.8*Curvas_rinde!F$2</f>
        <v>391600</v>
      </c>
      <c r="J8" s="35">
        <f>MAX(0,Campos!$F$4-(21.8))*Arandano_2026!$D$4+0.2*Curvas_rinde!G$2+21.8*Curvas_rinde!G$2</f>
        <v>391600</v>
      </c>
      <c r="K8" s="35">
        <f>MAX(0,Campos!$F$4-(21.8))*Arandano_2026!$D$4+0.2*Curvas_rinde!H$2+21.8*Curvas_rinde!H$2</f>
        <v>391600</v>
      </c>
      <c r="L8" s="35">
        <f>MAX(0,Campos!$F$4-(21.8))*Arandano_2026!$D$4+0.2*Curvas_rinde!I$2+21.8*Curvas_rinde!I$2</f>
        <v>391600</v>
      </c>
    </row>
    <row r="9" spans="1:12" ht="18" customHeight="1" x14ac:dyDescent="0.3">
      <c r="A9" s="40" t="s">
        <v>54</v>
      </c>
      <c r="B9" s="35">
        <f>MAX(0,Campos!$F$5)*Arandano_2026!$D$5+16*Curvas_rinde!C$2</f>
        <v>72800</v>
      </c>
      <c r="C9" s="35">
        <f>MAX(0,Campos!$F$5)*Arandano_2026!$D$5+16*Curvas_rinde!D$2</f>
        <v>112800</v>
      </c>
      <c r="D9" s="35">
        <f>MAX(0,Campos!$F$5)*Arandano_2026!$D$5+16*Curvas_rinde!E$2</f>
        <v>208800</v>
      </c>
      <c r="E9" s="35">
        <f>MAX(0,Campos!$F$5)*Arandano_2026!$D$5+16*Curvas_rinde!F$2</f>
        <v>349600</v>
      </c>
      <c r="F9" s="35">
        <f>MAX(0,Campos!$F$5)*Arandano_2026!$D$5+16*Curvas_rinde!G$2</f>
        <v>349600</v>
      </c>
      <c r="G9" s="35">
        <f>MAX(0,Campos!$F$5)*Arandano_2026!$D$5+16*Curvas_rinde!H$2</f>
        <v>349600</v>
      </c>
      <c r="H9" s="35">
        <f>MAX(0,Campos!$F$5)*Arandano_2026!$D$5+16*Curvas_rinde!I$2</f>
        <v>349600</v>
      </c>
      <c r="I9" s="35">
        <f>MAX(0,Campos!$F$5)*Arandano_2026!$D$5+16*Curvas_rinde!J$2</f>
        <v>349600</v>
      </c>
      <c r="J9" s="35">
        <f>MAX(0,Campos!$F$5)*Arandano_2026!$D$5+16*Curvas_rinde!K$2</f>
        <v>349600</v>
      </c>
      <c r="K9" s="35">
        <f>MAX(0,Campos!$F$5)*Arandano_2026!$D$5+16*Curvas_rinde!L$2</f>
        <v>312800</v>
      </c>
      <c r="L9" s="35">
        <f>MAX(0,Campos!$F$5)*Arandano_2026!$D$5+16*Curvas_rinde!M$2</f>
        <v>280800</v>
      </c>
    </row>
    <row r="10" spans="1:12" ht="18" customHeight="1" x14ac:dyDescent="0.3">
      <c r="A10" s="40" t="s">
        <v>56</v>
      </c>
      <c r="B10" s="35">
        <f>MAX(0,Campos!$F$6)*Arandano_2026!$D$6</f>
        <v>244489.00000000003</v>
      </c>
      <c r="C10" s="35">
        <f>MAX(0,Campos!$F$6)*Arandano_2026!$D$6</f>
        <v>244489.00000000003</v>
      </c>
      <c r="D10" s="35">
        <f>MAX(0,Campos!$F$6)*Arandano_2026!$D$6</f>
        <v>244489.00000000003</v>
      </c>
      <c r="E10" s="35">
        <f>MAX(0,Campos!$F$6)*Arandano_2026!$D$6</f>
        <v>244489.00000000003</v>
      </c>
      <c r="F10" s="35">
        <f>MAX(0,Campos!$F$6)*Arandano_2026!$D$6</f>
        <v>244489.00000000003</v>
      </c>
      <c r="G10" s="35">
        <f>MAX(0,Campos!$F$6)*Arandano_2026!$D$6</f>
        <v>244489.00000000003</v>
      </c>
      <c r="H10" s="35">
        <f>MAX(0,Campos!$F$6)*Arandano_2026!$D$6</f>
        <v>244489.00000000003</v>
      </c>
      <c r="I10" s="35">
        <f>MAX(0,Campos!$F$6)*Arandano_2026!$D$6</f>
        <v>244489.00000000003</v>
      </c>
      <c r="J10" s="35">
        <f>MAX(0,Campos!$F$6)*Arandano_2026!$D$6</f>
        <v>244489.00000000003</v>
      </c>
      <c r="K10" s="35">
        <f>MAX(0,Campos!$F$6)*Arandano_2026!$D$6</f>
        <v>244489.00000000003</v>
      </c>
      <c r="L10" s="35">
        <f>MAX(0,Campos!$F$6)*Arandano_2026!$D$6</f>
        <v>244489.00000000003</v>
      </c>
    </row>
    <row r="11" spans="1:12" ht="18" customHeight="1" x14ac:dyDescent="0.3">
      <c r="A11" s="40" t="s">
        <v>59</v>
      </c>
      <c r="B11" s="35">
        <f>MAX(0,Campos!$F$7)*0</f>
        <v>0</v>
      </c>
      <c r="C11" s="35">
        <f>MAX(0,Campos!$F$7)*0+40*Curvas_rinde!B$2</f>
        <v>0</v>
      </c>
      <c r="D11" s="35">
        <f>MAX(0,Campos!$F$7)*0+40*Curvas_rinde!C$2+30*Curvas_rinde!B$2</f>
        <v>20000</v>
      </c>
      <c r="E11" s="35">
        <f>MAX(0,Campos!$F$7)*0+40*Curvas_rinde!D$2+30*Curvas_rinde!C$2</f>
        <v>135000</v>
      </c>
      <c r="F11" s="35">
        <f>MAX(0,Campos!$F$7)*0+40*Curvas_rinde!E$2+30*Curvas_rinde!D$2</f>
        <v>450000</v>
      </c>
      <c r="G11" s="35">
        <f>MAX(0,Campos!$F$7)*0+40*Curvas_rinde!F$2+30*Curvas_rinde!E$2</f>
        <v>982000</v>
      </c>
      <c r="H11" s="35">
        <f>MAX(0,Campos!$F$7)*0+40*Curvas_rinde!G$2+30*Curvas_rinde!F$2</f>
        <v>1246000</v>
      </c>
      <c r="I11" s="35">
        <f>MAX(0,Campos!$F$7)*0+40*Curvas_rinde!H$2+30*Curvas_rinde!G$2</f>
        <v>1246000</v>
      </c>
      <c r="J11" s="35">
        <f>MAX(0,Campos!$F$7)*0+40*Curvas_rinde!I$2+30*Curvas_rinde!H$2</f>
        <v>1246000</v>
      </c>
      <c r="K11" s="35">
        <f>MAX(0,Campos!$F$7)*0+40*Curvas_rinde!J$2+30*Curvas_rinde!I$2</f>
        <v>1246000</v>
      </c>
      <c r="L11" s="35">
        <f>MAX(0,Campos!$F$7)*0+40*Curvas_rinde!K$2+30*Curvas_rinde!J$2</f>
        <v>1246000</v>
      </c>
    </row>
    <row r="12" spans="1:12" ht="18" customHeight="1" x14ac:dyDescent="0.3">
      <c r="A12" s="36" t="s">
        <v>180</v>
      </c>
      <c r="B12" s="26">
        <f t="shared" ref="B12:L12" si="0">SUM(B6,B7,B8,B9,B10,B11)</f>
        <v>1603745</v>
      </c>
      <c r="C12" s="26">
        <f t="shared" si="0"/>
        <v>1648245</v>
      </c>
      <c r="D12" s="26">
        <f t="shared" si="0"/>
        <v>1575493.9843317971</v>
      </c>
      <c r="E12" s="26">
        <f t="shared" si="0"/>
        <v>1427302.070967742</v>
      </c>
      <c r="F12" s="26">
        <f t="shared" si="0"/>
        <v>1784789</v>
      </c>
      <c r="G12" s="26">
        <f t="shared" si="0"/>
        <v>3186289</v>
      </c>
      <c r="H12" s="26">
        <f t="shared" si="0"/>
        <v>4328289</v>
      </c>
      <c r="I12" s="26">
        <f t="shared" si="0"/>
        <v>4777089</v>
      </c>
      <c r="J12" s="26">
        <f t="shared" si="0"/>
        <v>4777089</v>
      </c>
      <c r="K12" s="26">
        <f t="shared" si="0"/>
        <v>4740289</v>
      </c>
      <c r="L12" s="26">
        <f t="shared" si="0"/>
        <v>4687589</v>
      </c>
    </row>
    <row r="13" spans="1:12" x14ac:dyDescent="0.3">
      <c r="A13" s="65" t="s">
        <v>183</v>
      </c>
      <c r="B13" s="35">
        <f>75*Curvas_rinde!B2</f>
        <v>0</v>
      </c>
      <c r="C13" s="35">
        <f>75*Curvas_rinde!C2</f>
        <v>37500</v>
      </c>
      <c r="D13" s="35">
        <f>75*Curvas_rinde!D2</f>
        <v>225000</v>
      </c>
      <c r="E13" s="35">
        <f>75*Curvas_rinde!E2</f>
        <v>675000</v>
      </c>
      <c r="F13" s="35">
        <f>75*Curvas_rinde!F2</f>
        <v>1335000</v>
      </c>
      <c r="G13" s="35">
        <f>75*Curvas_rinde!G2</f>
        <v>1335000</v>
      </c>
      <c r="H13" s="35">
        <f>75*Curvas_rinde!H2</f>
        <v>1335000</v>
      </c>
      <c r="I13" s="35">
        <f>75*Curvas_rinde!I2</f>
        <v>1335000</v>
      </c>
      <c r="J13" s="35">
        <f>75*Curvas_rinde!J2</f>
        <v>1335000</v>
      </c>
      <c r="K13" s="35">
        <f>75*Curvas_rinde!K2</f>
        <v>1335000</v>
      </c>
      <c r="L13" s="35">
        <f>75*Curvas_rinde!L2</f>
        <v>1162500</v>
      </c>
    </row>
    <row r="14" spans="1:12" ht="13.95" customHeight="1" x14ac:dyDescent="0.3">
      <c r="A14" s="27" t="s">
        <v>181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</row>
    <row r="15" spans="1:12" ht="18" customHeight="1" x14ac:dyDescent="0.3">
      <c r="A15" s="43" t="s">
        <v>62</v>
      </c>
      <c r="B15" s="37">
        <f>Campos!$F$8*Limon_2026!$D$2</f>
        <v>4515420</v>
      </c>
      <c r="C15" s="37">
        <v>5500000</v>
      </c>
      <c r="D15" s="37">
        <v>6000000</v>
      </c>
      <c r="E15" s="37">
        <v>6500000</v>
      </c>
      <c r="F15" s="37">
        <f>Campos!$F$8*Limon_2026!$D$2</f>
        <v>4515420</v>
      </c>
      <c r="G15" s="37">
        <f>Campos!$F$8*Limon_2026!$D$2</f>
        <v>4515420</v>
      </c>
      <c r="H15" s="37">
        <f>Campos!$F$8*Limon_2026!$D$2</f>
        <v>4515420</v>
      </c>
      <c r="I15" s="37">
        <f>Campos!$F$8*Limon_2026!$D$2</f>
        <v>4515420</v>
      </c>
      <c r="J15" s="37">
        <f>Campos!$F$8*Limon_2026!$D$2</f>
        <v>4515420</v>
      </c>
      <c r="K15" s="37">
        <f>Campos!$F$8*Limon_2026!$D$2</f>
        <v>4515420</v>
      </c>
      <c r="L15" s="37">
        <f>Campos!$F$8*Limon_2026!$D$2</f>
        <v>4515420</v>
      </c>
    </row>
    <row r="16" spans="1:12" ht="18" customHeight="1" x14ac:dyDescent="0.3">
      <c r="A16" s="43" t="s">
        <v>65</v>
      </c>
      <c r="B16" s="37">
        <f>Campos!$F$9*Limon_2026!$D$3</f>
        <v>1108688</v>
      </c>
      <c r="C16" s="37">
        <f>Campos!$F$9*Limon_2026!$D$3</f>
        <v>1108688</v>
      </c>
      <c r="D16" s="37">
        <f>Campos!$F$9*Limon_2026!$D$3</f>
        <v>1108688</v>
      </c>
      <c r="E16" s="37">
        <f>Campos!$F$9*Limon_2026!$D$3</f>
        <v>1108688</v>
      </c>
      <c r="F16" s="37">
        <f>Campos!$F$9*Limon_2026!$D$3</f>
        <v>1108688</v>
      </c>
      <c r="G16" s="37">
        <f>Campos!$F$9*Limon_2026!$D$3</f>
        <v>1108688</v>
      </c>
      <c r="H16" s="37">
        <f>Campos!$F$9*Limon_2026!$D$3</f>
        <v>1108688</v>
      </c>
      <c r="I16" s="37">
        <f>Campos!$F$9*Limon_2026!$D$3</f>
        <v>1108688</v>
      </c>
      <c r="J16" s="37">
        <f>Campos!$F$9*Limon_2026!$D$3</f>
        <v>1108688</v>
      </c>
      <c r="K16" s="37">
        <f>Campos!$F$9*Limon_2026!$D$3</f>
        <v>1108688</v>
      </c>
      <c r="L16" s="37">
        <f>Campos!$F$9*Limon_2026!$D$3</f>
        <v>1108688</v>
      </c>
    </row>
    <row r="17" spans="1:12" ht="18" customHeight="1" x14ac:dyDescent="0.3">
      <c r="A17" s="43" t="s">
        <v>67</v>
      </c>
      <c r="B17" s="37">
        <f>Campos!$F$10*Limon_2026!$D$4</f>
        <v>2761449</v>
      </c>
      <c r="C17" s="37">
        <v>3000000</v>
      </c>
      <c r="D17" s="37">
        <v>3500000</v>
      </c>
      <c r="E17" s="37">
        <f>Campos!$F$10*Limon_2026!$D$4</f>
        <v>2761449</v>
      </c>
      <c r="F17" s="37">
        <f>Campos!$F$10*Limon_2026!$D$4</f>
        <v>2761449</v>
      </c>
      <c r="G17" s="37">
        <f>Campos!$F$10*Limon_2026!$D$4</f>
        <v>2761449</v>
      </c>
      <c r="H17" s="37">
        <f>Campos!$F$10*Limon_2026!$D$4</f>
        <v>2761449</v>
      </c>
      <c r="I17" s="37">
        <f>Campos!$F$10*Limon_2026!$D$4</f>
        <v>2761449</v>
      </c>
      <c r="J17" s="37">
        <f>Campos!$F$10*Limon_2026!$D$4</f>
        <v>2761449</v>
      </c>
      <c r="K17" s="37">
        <f>Campos!$F$10*Limon_2026!$D$4</f>
        <v>2761449</v>
      </c>
      <c r="L17" s="37">
        <f>Campos!$F$10*Limon_2026!$D$4</f>
        <v>2761449</v>
      </c>
    </row>
    <row r="18" spans="1:12" ht="18" customHeight="1" x14ac:dyDescent="0.3">
      <c r="A18" s="43" t="s">
        <v>70</v>
      </c>
      <c r="B18" s="37">
        <f>Campos!$F$11*Limon_2026!$D$5</f>
        <v>213840</v>
      </c>
      <c r="C18" s="37">
        <f>Campos!$F$11*Limon_2026!$D$5</f>
        <v>213840</v>
      </c>
      <c r="D18" s="37">
        <f>Campos!$F$11*Limon_2026!$D$5</f>
        <v>213840</v>
      </c>
      <c r="E18" s="37">
        <f>Campos!$F$11*Limon_2026!$D$5</f>
        <v>213840</v>
      </c>
      <c r="F18" s="37">
        <f>Campos!$F$11*Limon_2026!$D$5</f>
        <v>213840</v>
      </c>
      <c r="G18" s="37">
        <f>Campos!$F$11*Limon_2026!$D$5</f>
        <v>213840</v>
      </c>
      <c r="H18" s="37">
        <f>Campos!$F$11*Limon_2026!$D$5</f>
        <v>213840</v>
      </c>
      <c r="I18" s="37">
        <f>Campos!$F$11*Limon_2026!$D$5</f>
        <v>213840</v>
      </c>
      <c r="J18" s="37">
        <f>Campos!$F$11*Limon_2026!$D$5</f>
        <v>213840</v>
      </c>
      <c r="K18" s="37">
        <f>Campos!$F$11*Limon_2026!$D$5</f>
        <v>213840</v>
      </c>
      <c r="L18" s="37">
        <f>Campos!$F$11*Limon_2026!$D$5</f>
        <v>213840</v>
      </c>
    </row>
    <row r="19" spans="1:12" ht="18" customHeight="1" x14ac:dyDescent="0.3">
      <c r="A19" s="38" t="s">
        <v>182</v>
      </c>
      <c r="B19" s="29">
        <f t="shared" ref="B19:L19" si="1">SUM(B15,B16,B17,B18)</f>
        <v>8599397</v>
      </c>
      <c r="C19" s="29">
        <f t="shared" si="1"/>
        <v>9822528</v>
      </c>
      <c r="D19" s="29">
        <f t="shared" si="1"/>
        <v>10822528</v>
      </c>
      <c r="E19" s="29">
        <f t="shared" si="1"/>
        <v>10583977</v>
      </c>
      <c r="F19" s="29">
        <f t="shared" si="1"/>
        <v>8599397</v>
      </c>
      <c r="G19" s="29">
        <f t="shared" si="1"/>
        <v>8599397</v>
      </c>
      <c r="H19" s="29">
        <f t="shared" si="1"/>
        <v>8599397</v>
      </c>
      <c r="I19" s="29">
        <f t="shared" si="1"/>
        <v>8599397</v>
      </c>
      <c r="J19" s="29">
        <f t="shared" si="1"/>
        <v>8599397</v>
      </c>
      <c r="K19" s="29">
        <f t="shared" si="1"/>
        <v>8599397</v>
      </c>
      <c r="L19" s="29">
        <f t="shared" si="1"/>
        <v>8599397</v>
      </c>
    </row>
    <row r="20" spans="1:12" x14ac:dyDescent="0.3">
      <c r="A20" s="64" t="s">
        <v>183</v>
      </c>
      <c r="B20" s="63">
        <f>25117000-B19</f>
        <v>16517603</v>
      </c>
      <c r="C20" s="63">
        <f>30000000-C19</f>
        <v>20177472</v>
      </c>
      <c r="D20" s="63">
        <f>40000000-D19</f>
        <v>29177472</v>
      </c>
      <c r="E20" s="63">
        <f>48000000-E19</f>
        <v>37416023</v>
      </c>
      <c r="F20" s="63">
        <f t="shared" ref="F20:L20" si="2">48000000-F19</f>
        <v>39400603</v>
      </c>
      <c r="G20" s="63">
        <f t="shared" si="2"/>
        <v>39400603</v>
      </c>
      <c r="H20" s="63">
        <f t="shared" si="2"/>
        <v>39400603</v>
      </c>
      <c r="I20" s="63">
        <f t="shared" si="2"/>
        <v>39400603</v>
      </c>
      <c r="J20" s="63">
        <f t="shared" si="2"/>
        <v>39400603</v>
      </c>
      <c r="K20" s="63">
        <f t="shared" si="2"/>
        <v>39400603</v>
      </c>
      <c r="L20" s="63">
        <f t="shared" si="2"/>
        <v>39400603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Instrucciones</vt:lpstr>
      <vt:lpstr>Campos</vt:lpstr>
      <vt:lpstr>Arandano_2026</vt:lpstr>
      <vt:lpstr>Limon_2026</vt:lpstr>
      <vt:lpstr>Cana_2026</vt:lpstr>
      <vt:lpstr>Plantaciones</vt:lpstr>
      <vt:lpstr>Curvas_rinde</vt:lpstr>
      <vt:lpstr>Ingresos</vt:lpstr>
      <vt:lpstr>Proyeccion_com</vt:lpstr>
      <vt:lpstr>Kg_proyectados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sbaya</cp:lastModifiedBy>
  <dcterms:created xsi:type="dcterms:W3CDTF">2026-04-29T11:35:52Z</dcterms:created>
  <dcterms:modified xsi:type="dcterms:W3CDTF">2026-04-29T13:16:45Z</dcterms:modified>
</cp:coreProperties>
</file>