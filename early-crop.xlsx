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mpos" sheetId="2" state="visible" r:id="rId2"/>
    <sheet xmlns:r="http://schemas.openxmlformats.org/officeDocument/2006/relationships" name="Arandano_2026" sheetId="3" state="visible" r:id="rId3"/>
    <sheet xmlns:r="http://schemas.openxmlformats.org/officeDocument/2006/relationships" name="Limon_2026" sheetId="4" state="visible" r:id="rId4"/>
    <sheet xmlns:r="http://schemas.openxmlformats.org/officeDocument/2006/relationships" name="Cana_2026" sheetId="5" state="visible" r:id="rId5"/>
    <sheet xmlns:r="http://schemas.openxmlformats.org/officeDocument/2006/relationships" name="Plantaciones" sheetId="6" state="visible" r:id="rId6"/>
    <sheet xmlns:r="http://schemas.openxmlformats.org/officeDocument/2006/relationships" name="Curvas_rinde" sheetId="7" state="visible" r:id="rId7"/>
    <sheet xmlns:r="http://schemas.openxmlformats.org/officeDocument/2006/relationships" name="Ingresos" sheetId="8" state="visible" r:id="rId8"/>
    <sheet xmlns:r="http://schemas.openxmlformats.org/officeDocument/2006/relationships" name="Proyeccion_com" sheetId="9" state="visible" r:id="rId9"/>
    <sheet xmlns:r="http://schemas.openxmlformats.org/officeDocument/2006/relationships" name="Kg_proyectad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\$#,##0.00"/>
    <numFmt numFmtId="166" formatCode="\$#,##0.000"/>
    <numFmt numFmtId="167" formatCode="0.0%"/>
    <numFmt numFmtId="168" formatCode="\$#,##0"/>
    <numFmt numFmtId="169" formatCode="#,##0.000"/>
  </numFmts>
  <fonts count="32">
    <font>
      <name val="Calibri"/>
      <family val="2"/>
      <color theme="1"/>
      <sz val="11"/>
      <scheme val="minor"/>
    </font>
    <font>
      <name val="Calibri"/>
      <charset val="1"/>
      <b val="1"/>
      <color rgb="FF1F3A66"/>
      <sz val="16"/>
    </font>
    <font>
      <name val="Calibri"/>
      <charset val="1"/>
      <color rgb="FF333333"/>
      <sz val="11"/>
    </font>
    <font>
      <name val="Calibri"/>
      <b val="1"/>
      <color rgb="000E1514"/>
      <sz val="10"/>
    </font>
    <font>
      <name val="Calibri"/>
      <color rgb="004A5654"/>
      <sz val="10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olor rgb="FF0000FF"/>
      <sz val="11"/>
    </font>
    <font>
      <name val="Calibri"/>
      <charset val="1"/>
      <color rgb="FF000000"/>
      <sz val="11"/>
    </font>
    <font>
      <name val="Calibri"/>
      <charset val="1"/>
      <family val="2"/>
      <color theme="1"/>
      <sz val="11"/>
    </font>
    <font>
      <name val="Calibri"/>
      <b val="1"/>
      <sz val="13"/>
    </font>
    <font>
      <name val="Calibri"/>
      <color rgb="FF8A918F"/>
      <sz val="9"/>
    </font>
    <font>
      <name val="Calibri"/>
      <i val="1"/>
      <color rgb="FFC14A3E"/>
      <sz val="9"/>
    </font>
    <font>
      <name val="Calibri"/>
      <b val="1"/>
      <color rgb="FFFFFFFF"/>
      <sz val="10"/>
    </font>
    <font>
      <name val="Calibri"/>
      <color rgb="FF0E1514"/>
      <sz val="10"/>
    </font>
    <font>
      <name val="Calibri"/>
      <i val="1"/>
      <color rgb="FF1D5C1E"/>
      <sz val="10"/>
    </font>
    <font>
      <name val="Calibri"/>
      <sz val="10"/>
    </font>
    <font>
      <name val="Calibri"/>
      <b val="1"/>
      <sz val="12"/>
    </font>
    <font>
      <name val="Calibri"/>
      <i val="1"/>
      <color rgb="00C14A3E"/>
      <sz val="9"/>
    </font>
    <font>
      <name val="Calibri"/>
      <b val="1"/>
      <color rgb="00FFFFFF"/>
      <sz val="10"/>
    </font>
    <font>
      <name val="Calibri"/>
      <b val="1"/>
      <color rgb="004338CA"/>
      <sz val="9"/>
    </font>
    <font>
      <name val="Calibri"/>
      <b val="1"/>
      <color rgb="003F6212"/>
      <sz val="9"/>
    </font>
    <font>
      <name val="Calibri"/>
      <i val="1"/>
      <color rgb="008A918F"/>
      <sz val="9"/>
    </font>
    <font>
      <name val="Calibri"/>
      <color rgb="004A5654"/>
      <sz val="9"/>
    </font>
    <font>
      <name val="Calibri"/>
      <b val="1"/>
      <sz val="10"/>
    </font>
    <font>
      <name val="Calibri"/>
      <b val="1"/>
      <color rgb="000F4A4C"/>
      <sz val="10"/>
    </font>
    <font>
      <name val="Calibri"/>
      <color rgb="008A918F"/>
      <sz val="10"/>
    </font>
    <font>
      <name val="Calibri"/>
      <b val="1"/>
      <color rgb="00FFFFFF"/>
      <sz val="11"/>
    </font>
    <font>
      <name val="Calibri"/>
      <color rgb="000E1514"/>
      <sz val="10"/>
    </font>
    <font>
      <name val="Calibri"/>
      <i val="1"/>
      <color rgb="004A5654"/>
      <sz val="10"/>
    </font>
    <font>
      <name val="Calibri"/>
      <b val="1"/>
      <color rgb="000E1514"/>
      <sz val="13"/>
    </font>
    <font>
      <name val="Calibri"/>
      <i val="1"/>
      <color rgb="00555555"/>
      <sz val="10"/>
    </font>
  </fonts>
  <fills count="18">
    <fill>
      <patternFill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  <fill>
      <patternFill patternType="solid">
        <fgColor rgb="FF1D7A7C"/>
      </patternFill>
    </fill>
    <fill>
      <patternFill patternType="solid">
        <fgColor rgb="FFF7F7F4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001D7A7C"/>
      </patternFill>
    </fill>
    <fill>
      <patternFill patternType="solid">
        <fgColor rgb="00EEF2FF"/>
      </patternFill>
    </fill>
    <fill>
      <patternFill patternType="solid">
        <fgColor rgb="004338CA"/>
      </patternFill>
    </fill>
    <fill>
      <patternFill patternType="solid">
        <fgColor rgb="00F4FBE7"/>
      </patternFill>
    </fill>
    <fill>
      <patternFill patternType="solid">
        <fgColor rgb="003F6212"/>
      </patternFill>
    </fill>
    <fill>
      <patternFill patternType="solid">
        <fgColor rgb="00FFFDE7"/>
      </patternFill>
    </fill>
    <fill>
      <patternFill patternType="solid">
        <fgColor rgb="00E8F4F8"/>
      </patternFill>
    </fill>
    <fill>
      <patternFill patternType="solid">
        <fgColor rgb="00FEF6E4"/>
      </patternFill>
    </fill>
    <fill>
      <patternFill patternType="solid">
        <fgColor rgb="00ECECEC"/>
      </patternFill>
    </fill>
    <fill>
      <patternFill patternType="solid">
        <fgColor rgb="000F4A4C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8" fontId="9" fillId="0" borderId="0" pivotButton="0" quotePrefix="0" xfId="0"/>
    <xf numFmtId="164" fontId="9" fillId="0" borderId="0" pivotButton="0" quotePrefix="0" xfId="0"/>
    <xf numFmtId="0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3" fontId="15" fillId="6" borderId="2" applyAlignment="1" pivotButton="0" quotePrefix="0" xfId="0">
      <alignment horizontal="right"/>
    </xf>
    <xf numFmtId="3" fontId="16" fillId="5" borderId="2" applyAlignment="1" pivotButton="0" quotePrefix="0" xfId="0">
      <alignment horizontal="right"/>
    </xf>
    <xf numFmtId="0" fontId="14" fillId="7" borderId="2" applyAlignment="1" pivotButton="0" quotePrefix="0" xfId="0">
      <alignment horizontal="left" vertical="center"/>
    </xf>
    <xf numFmtId="3" fontId="16" fillId="7" borderId="2" applyAlignment="1" pivotButton="0" quotePrefix="0" xfId="0">
      <alignment horizontal="right"/>
    </xf>
    <xf numFmtId="0" fontId="13" fillId="4" borderId="2" applyAlignment="1" pivotButton="0" quotePrefix="0" xfId="0">
      <alignment horizontal="left" vertical="center"/>
    </xf>
    <xf numFmtId="3" fontId="13" fillId="4" borderId="2" applyAlignment="1" pivotButton="0" quotePrefix="0" xfId="0">
      <alignment horizontal="right"/>
    </xf>
    <xf numFmtId="0" fontId="17" fillId="0" borderId="0" pivotButton="0" quotePrefix="0" xfId="0"/>
    <xf numFmtId="0" fontId="18" fillId="0" borderId="0" pivotButton="0" quotePrefix="0" xfId="0"/>
    <xf numFmtId="0" fontId="19" fillId="8" borderId="3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0" fontId="16" fillId="9" borderId="3" pivotButton="0" quotePrefix="0" xfId="0"/>
    <xf numFmtId="3" fontId="16" fillId="9" borderId="3" applyAlignment="1" pivotButton="0" quotePrefix="0" xfId="0">
      <alignment horizontal="right" vertical="center"/>
    </xf>
    <xf numFmtId="0" fontId="19" fillId="10" borderId="3" pivotButton="0" quotePrefix="0" xfId="0"/>
    <xf numFmtId="3" fontId="19" fillId="10" borderId="3" applyAlignment="1" pivotButton="0" quotePrefix="0" xfId="0">
      <alignment horizontal="right" vertical="center"/>
    </xf>
    <xf numFmtId="0" fontId="21" fillId="11" borderId="0" pivotButton="0" quotePrefix="0" xfId="0"/>
    <xf numFmtId="0" fontId="0" fillId="11" borderId="0" pivotButton="0" quotePrefix="0" xfId="0"/>
    <xf numFmtId="0" fontId="16" fillId="11" borderId="3" pivotButton="0" quotePrefix="0" xfId="0"/>
    <xf numFmtId="3" fontId="16" fillId="11" borderId="3" applyAlignment="1" pivotButton="0" quotePrefix="0" xfId="0">
      <alignment horizontal="right" vertical="center"/>
    </xf>
    <xf numFmtId="0" fontId="19" fillId="12" borderId="3" pivotButton="0" quotePrefix="0" xfId="0"/>
    <xf numFmtId="3" fontId="19" fillId="12" borderId="3" applyAlignment="1" pivotButton="0" quotePrefix="0" xfId="0">
      <alignment horizontal="right" vertical="center"/>
    </xf>
    <xf numFmtId="0" fontId="22" fillId="0" borderId="0" pivotButton="0" quotePrefix="0" xfId="0"/>
    <xf numFmtId="0" fontId="23" fillId="0" borderId="0" pivotButton="0" quotePrefix="0" xfId="0"/>
    <xf numFmtId="0" fontId="24" fillId="9" borderId="3" applyAlignment="1" pivotButton="0" quotePrefix="0" xfId="0">
      <alignment horizontal="left" vertical="center"/>
    </xf>
    <xf numFmtId="167" fontId="16" fillId="13" borderId="3" applyAlignment="1" pivotButton="0" quotePrefix="0" xfId="0">
      <alignment horizontal="right" vertical="center"/>
    </xf>
    <xf numFmtId="0" fontId="16" fillId="9" borderId="3" applyAlignment="1" pivotButton="0" quotePrefix="0" xfId="0">
      <alignment horizontal="left" vertical="center"/>
    </xf>
    <xf numFmtId="3" fontId="16" fillId="13" borderId="3" applyAlignment="1" pivotButton="0" quotePrefix="0" xfId="0">
      <alignment horizontal="right" vertical="center"/>
    </xf>
    <xf numFmtId="169" fontId="16" fillId="13" borderId="3" applyAlignment="1" pivotButton="0" quotePrefix="0" xfId="0">
      <alignment horizontal="right" vertical="center"/>
    </xf>
    <xf numFmtId="3" fontId="25" fillId="14" borderId="3" applyAlignment="1" pivotButton="0" quotePrefix="0" xfId="0">
      <alignment horizontal="right" vertical="center"/>
    </xf>
    <xf numFmtId="0" fontId="24" fillId="11" borderId="3" applyAlignment="1" pivotButton="0" quotePrefix="0" xfId="0">
      <alignment horizontal="left" vertical="center"/>
    </xf>
    <xf numFmtId="0" fontId="16" fillId="11" borderId="3" applyAlignment="1" pivotButton="0" quotePrefix="0" xfId="0">
      <alignment horizontal="left" vertical="center"/>
    </xf>
    <xf numFmtId="0" fontId="24" fillId="15" borderId="3" applyAlignment="1" pivotButton="0" quotePrefix="0" xfId="0">
      <alignment horizontal="left" vertical="center"/>
    </xf>
    <xf numFmtId="0" fontId="16" fillId="15" borderId="3" applyAlignment="1" pivotButton="0" quotePrefix="0" xfId="0">
      <alignment horizontal="left" vertical="center"/>
    </xf>
    <xf numFmtId="3" fontId="26" fillId="16" borderId="3" applyAlignment="1" pivotButton="0" quotePrefix="0" xfId="0">
      <alignment horizontal="right" vertical="center"/>
    </xf>
    <xf numFmtId="0" fontId="27" fillId="17" borderId="3" applyAlignment="1" pivotButton="0" quotePrefix="0" xfId="0">
      <alignment horizontal="left" vertical="center"/>
    </xf>
    <xf numFmtId="3" fontId="27" fillId="17" borderId="3" applyAlignment="1" pivotButton="0" quotePrefix="0" xfId="0">
      <alignment horizontal="right" vertical="center"/>
    </xf>
    <xf numFmtId="3" fontId="28" fillId="9" borderId="3" applyAlignment="1" pivotButton="0" quotePrefix="0" xfId="0">
      <alignment horizontal="right" vertical="center"/>
    </xf>
    <xf numFmtId="0" fontId="19" fillId="10" borderId="3" applyAlignment="1" pivotButton="0" quotePrefix="0" xfId="0">
      <alignment horizontal="left" vertical="center"/>
    </xf>
    <xf numFmtId="3" fontId="28" fillId="11" borderId="3" applyAlignment="1" pivotButton="0" quotePrefix="0" xfId="0">
      <alignment horizontal="right" vertical="center"/>
    </xf>
    <xf numFmtId="0" fontId="19" fillId="12" borderId="3" applyAlignment="1" pivotButton="0" quotePrefix="0" xfId="0">
      <alignment horizontal="left" vertical="center"/>
    </xf>
    <xf numFmtId="0" fontId="25" fillId="14" borderId="0" pivotButton="0" quotePrefix="0" xfId="0"/>
    <xf numFmtId="3" fontId="16" fillId="16" borderId="3" applyAlignment="1" pivotButton="0" quotePrefix="0" xfId="0">
      <alignment horizontal="right" vertical="center"/>
    </xf>
    <xf numFmtId="169" fontId="25" fillId="16" borderId="3" applyAlignment="1" pivotButton="0" quotePrefix="0" xfId="0">
      <alignment horizontal="right" vertical="center"/>
    </xf>
    <xf numFmtId="169" fontId="29" fillId="16" borderId="3" applyAlignment="1" pivotButton="0" quotePrefix="0" xfId="0">
      <alignment horizontal="right" vertical="center"/>
    </xf>
    <xf numFmtId="0" fontId="30" fillId="0" borderId="0" pivotButton="0" quotePrefix="0" xfId="0"/>
    <xf numFmtId="0" fontId="28" fillId="9" borderId="3" applyAlignment="1" pivotButton="0" quotePrefix="0" xfId="0">
      <alignment horizontal="left" vertical="center"/>
    </xf>
    <xf numFmtId="0" fontId="4" fillId="9" borderId="3" applyAlignment="1" pivotButton="0" quotePrefix="0" xfId="0">
      <alignment horizontal="left" vertical="center"/>
    </xf>
    <xf numFmtId="3" fontId="28" fillId="16" borderId="3" applyAlignment="1" pivotButton="0" quotePrefix="0" xfId="0">
      <alignment horizontal="right" vertical="center"/>
    </xf>
    <xf numFmtId="0" fontId="28" fillId="11" borderId="3" applyAlignment="1" pivotButton="0" quotePrefix="0" xfId="0">
      <alignment horizontal="left" vertical="center"/>
    </xf>
    <xf numFmtId="0" fontId="4" fillId="11" borderId="3" applyAlignment="1" pivotButton="0" quotePrefix="0" xfId="0">
      <alignment horizontal="left" vertical="center"/>
    </xf>
    <xf numFmtId="0" fontId="3" fillId="9" borderId="3" applyAlignment="1" pivotButton="0" quotePrefix="0" xfId="0">
      <alignment horizontal="left" vertical="center"/>
    </xf>
    <xf numFmtId="169" fontId="31" fillId="16" borderId="3" applyAlignment="1" pivotButton="0" quotePrefix="0" xfId="0">
      <alignment horizontal="right" vertical="center"/>
    </xf>
    <xf numFmtId="0" fontId="25" fillId="14" borderId="3" applyAlignment="1" pivotButton="0" quotePrefix="0" xfId="0">
      <alignment horizontal="left" vertical="center"/>
    </xf>
    <xf numFmtId="0" fontId="3" fillId="11" borderId="3" applyAlignment="1" pivotButton="0" quotePrefix="0" xfId="0">
      <alignment horizontal="left" vertical="center"/>
    </xf>
    <xf numFmtId="0" fontId="3" fillId="15" borderId="3" applyAlignment="1" pivotButton="0" quotePrefix="0" xfId="0">
      <alignment horizontal="left" vertical="center"/>
    </xf>
    <xf numFmtId="0" fontId="4" fillId="15" borderId="3" applyAlignment="1" pivotButton="0" quotePrefix="0" xfId="0">
      <alignment horizontal="left" vertical="center"/>
    </xf>
    <xf numFmtId="0" fontId="28" fillId="15" borderId="3" applyAlignment="1" pivotButton="0" quotePrefix="0" xfId="0">
      <alignment horizontal="left" vertical="center"/>
    </xf>
    <xf numFmtId="169" fontId="16" fillId="16" borderId="3" applyAlignment="1" pivotButton="0" quotePrefix="0" xfId="0">
      <alignment horizontal="right" vertical="center"/>
    </xf>
    <xf numFmtId="0" fontId="19" fillId="17" borderId="3" applyAlignment="1" pivotButton="0" quotePrefix="0" xfId="0">
      <alignment horizontal="center" vertical="center"/>
    </xf>
    <xf numFmtId="0" fontId="19" fillId="17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 ht="21" customHeight="1">
      <c r="A1" s="1" t="inlineStr">
        <is>
          <t>Panel Early Crop - Archivo de carga de datos</t>
        </is>
      </c>
    </row>
    <row r="2" ht="14.25" customHeight="1">
      <c r="A2" s="2" t="n"/>
    </row>
    <row r="3" ht="14.25" customHeight="1">
      <c r="A3" s="2" t="inlineStr">
        <is>
          <t>Este archivo alimenta el panel de campos. Esta estructurado en hojas:</t>
        </is>
      </c>
    </row>
    <row r="4" ht="14.25" customHeight="1">
      <c r="A4" s="2" t="n"/>
    </row>
    <row r="5" ht="14.25" customHeight="1">
      <c r="A5" s="2" t="inlineStr">
        <is>
          <t>• Campos - Catalogo maestro. Se edita cuando se agrega o modifica un campo.</t>
        </is>
      </c>
    </row>
    <row r="6" ht="14.25" customHeight="1">
      <c r="A6" s="2" t="inlineStr">
        <is>
          <t>• Arandano YYYY - Datos productivos y economicos del arandano por temporada.</t>
        </is>
      </c>
    </row>
    <row r="7" ht="14.25" customHeight="1">
      <c r="A7" s="2" t="inlineStr">
        <is>
          <t>• Limon YYYY - Idem limon.</t>
        </is>
      </c>
    </row>
    <row r="8" ht="14.25" customHeight="1">
      <c r="A8" s="2" t="inlineStr">
        <is>
          <t>• Cana YYYY - Idem cana de azucar.</t>
        </is>
      </c>
    </row>
    <row r="9" ht="14.25" customHeight="1">
      <c r="A9" s="2" t="n"/>
    </row>
    <row r="10" ht="14.25" customHeight="1">
      <c r="A10" s="2" t="inlineStr">
        <is>
          <t>Como agregar una nueva temporada:</t>
        </is>
      </c>
    </row>
    <row r="11" ht="14.25" customHeight="1">
      <c r="A11" s="2" t="inlineStr">
        <is>
          <t xml:space="preserve">  1. Duplicar la hoja de la temporada anterior del cultivo.</t>
        </is>
      </c>
    </row>
    <row r="12" ht="14.25" customHeight="1">
      <c r="A12" s="2" t="inlineStr">
        <is>
          <t xml:space="preserve">  2. Cambiar el nombre a "CULTIVO YYYY" (ej. "Arandano 2027").</t>
        </is>
      </c>
    </row>
    <row r="13" ht="14.25" customHeight="1">
      <c r="A13" s="2" t="inlineStr">
        <is>
          <t xml:space="preserve">  3. Actualizar la columna "temporada" a YYYY.</t>
        </is>
      </c>
    </row>
    <row r="14" ht="14.25" customHeight="1">
      <c r="A14" s="2" t="inlineStr">
        <is>
          <t xml:space="preserve">  4. Cargar los valores reales de la nueva temporada.</t>
        </is>
      </c>
    </row>
    <row r="15" ht="14.25" customHeight="1">
      <c r="A15" s="2" t="n"/>
    </row>
    <row r="16" ht="14.25" customHeight="1">
      <c r="A16" s="2" t="inlineStr">
        <is>
          <t>Como agregar un campo nuevo:</t>
        </is>
      </c>
    </row>
    <row r="17" ht="14.25" customHeight="1">
      <c r="A17" s="2" t="inlineStr">
        <is>
          <t xml:space="preserve">  1. Agregar fila en la hoja Campos con un id nuevo (ej. AR06).</t>
        </is>
      </c>
    </row>
    <row r="18" ht="14.25" customHeight="1">
      <c r="A18" s="2" t="inlineStr">
        <is>
          <t xml:space="preserve">  2. Agregar fila en la hoja de temporada del cultivo correspondiente.</t>
        </is>
      </c>
    </row>
    <row r="19" ht="14.25" customHeight="1">
      <c r="A19" s="2" t="n"/>
    </row>
    <row r="20" ht="14.25" customHeight="1">
      <c r="A20" s="2" t="inlineStr">
        <is>
          <t>Convenciones:</t>
        </is>
      </c>
    </row>
    <row r="21" ht="14.25" customHeight="1">
      <c r="A21" s="2" t="inlineStr">
        <is>
          <t xml:space="preserve">  • Valores monetarios en dolares (USD).</t>
        </is>
      </c>
    </row>
    <row r="22" ht="14.25" customHeight="1">
      <c r="A22" s="2" t="inlineStr">
        <is>
          <t xml:space="preserve">  • kg_totales es INPUT (cargar manualmente). kg_ha se calcula automaticamente (kg_totales / hectareas).</t>
        </is>
      </c>
    </row>
    <row r="23" ht="14.25" customHeight="1">
      <c r="A23" s="2" t="inlineStr">
        <is>
          <t xml:space="preserve">  • Porcentajes de variedades deben sumar 100% por campo.</t>
        </is>
      </c>
    </row>
    <row r="24" ht="14.25" customHeight="1">
      <c r="A24" s="2" t="inlineStr">
        <is>
          <t xml:space="preserve">  • Celdas en azul son inputs (se cargan manualmente).</t>
        </is>
      </c>
    </row>
    <row r="25" ht="14.25" customHeight="1">
      <c r="A25" s="2" t="inlineStr">
        <is>
          <t xml:space="preserve">  • IDs de campo tienen prefijo por cultivo: AR = arandano, LM = limon, CA = cana.</t>
        </is>
      </c>
    </row>
    <row r="26" ht="14.25" customHeight="1">
      <c r="A26" s="2" t="inlineStr">
        <is>
          <t xml:space="preserve">  • No usar tildes ni caracteres especiales en nombres de hojas.</t>
        </is>
      </c>
    </row>
    <row r="27" ht="14.25" customHeight="1">
      <c r="A27" s="2" t="n"/>
    </row>
    <row r="28" ht="14.25" customHeight="1">
      <c r="A28" s="2" t="inlineStr">
        <is>
          <t>Validaciones activas:</t>
        </is>
      </c>
    </row>
    <row r="29" ht="14.25" customHeight="1">
      <c r="A29" s="2" t="inlineStr">
        <is>
          <t xml:space="preserve">  • En Campos: cultivo (arandano/limon/cana) y entidad (PDJ/Fruit Crop/Greenpack).</t>
        </is>
      </c>
    </row>
    <row r="30" ht="14.25" customHeight="1">
      <c r="A30" s="2" t="inlineStr">
        <is>
          <t xml:space="preserve">  • En hojas de temporada: id_campo se valida contra la hoja Campos.</t>
        </is>
      </c>
    </row>
    <row r="31" ht="14.25" customHeight="1">
      <c r="A31" s="2" t="n"/>
    </row>
    <row r="32" ht="14.25" customHeight="1">
      <c r="A32" s="2" t="inlineStr">
        <is>
          <t>─── Plantación ───</t>
        </is>
      </c>
    </row>
    <row r="33" ht="14.25" customHeight="1">
      <c r="A33" s="2" t="n"/>
    </row>
    <row r="34" ht="14.25" customHeight="1">
      <c r="A34" s="2" t="inlineStr">
        <is>
          <t>• Plantaciones — Programa de plantación/recambio por campo y año.</t>
        </is>
      </c>
    </row>
    <row r="35" ht="14.25" customHeight="1">
      <c r="A35" s="2" t="inlineStr">
        <is>
          <t xml:space="preserve">  Cada fila es un bloque plantado en un año determinado.</t>
        </is>
      </c>
    </row>
    <row r="36" ht="14.25" customHeight="1">
      <c r="A36" s="2" t="inlineStr">
        <is>
          <t xml:space="preserve">  tipo: nueva (ha netas agregadas) o recambio (reemplazo de variedad).</t>
        </is>
      </c>
    </row>
    <row r="37" ht="14.25" customHeight="1">
      <c r="A37" s="2" t="inlineStr">
        <is>
          <t xml:space="preserve">  variedad: "por definir" si aún no hay decisión; opciones: Tafi, Slender, Naike, Moya, Pampa.</t>
        </is>
      </c>
    </row>
    <row r="38" ht="14.25" customHeight="1">
      <c r="A38" s="2" t="n"/>
    </row>
    <row r="39" ht="14.25" customHeight="1">
      <c r="A39" s="2" t="inlineStr">
        <is>
          <t>• Curvas_rinde — kg/ha por año desde la plantación para cada variedad.</t>
        </is>
      </c>
    </row>
    <row r="40" ht="14.25" customHeight="1">
      <c r="A40" s="2" t="inlineStr">
        <is>
          <t xml:space="preserve">  Año 1-2 = 0 (crecimiento).</t>
        </is>
      </c>
    </row>
    <row r="41" ht="14.25" customHeight="1">
      <c r="A41" s="2" t="inlineStr">
        <is>
          <t xml:space="preserve">  Año 3 = primera cosecha chica.</t>
        </is>
      </c>
    </row>
    <row r="42" ht="14.25" customHeight="1">
      <c r="A42" s="2" t="inlineStr">
        <is>
          <t xml:space="preserve">  Año 4 en adelante = pico productivo y declive posterior.</t>
        </is>
      </c>
    </row>
    <row r="43" ht="14.25" customHeight="1">
      <c r="A43" s="2" t="inlineStr">
        <is>
          <t xml:space="preserve">  Editar aquí para ajustar la proyección del panel.</t>
        </is>
      </c>
    </row>
    <row r="45">
      <c r="A45" s="3" t="inlineStr">
        <is>
          <t>HOJAS COMERCIALES</t>
        </is>
      </c>
    </row>
    <row r="46">
      <c r="A46" s="4" t="inlineStr">
        <is>
          <t xml:space="preserve">  • Ingresos — Histórico de facturación real por cultivo, canal y mercado.</t>
        </is>
      </c>
    </row>
    <row r="47">
      <c r="A47" s="4" t="inlineStr">
        <is>
          <t xml:space="preserve">  • Proyeccion_com — Parámetros FOB: % fresco, kg terceros, precios por año.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3" max="3"/>
    <col width="14" customWidth="1" min="4" max="4"/>
    <col width="12" customWidth="1" min="6" max="6"/>
  </cols>
  <sheetData>
    <row r="1" ht="14.25" customHeight="1">
      <c r="A1" s="5" t="inlineStr">
        <is>
          <t>id_campo</t>
        </is>
      </c>
      <c r="B1" s="5" t="inlineStr">
        <is>
          <t>cultivo</t>
        </is>
      </c>
      <c r="C1" s="5" t="inlineStr">
        <is>
          <t>nombre</t>
        </is>
      </c>
      <c r="D1" s="5" t="inlineStr">
        <is>
          <t>entidad</t>
        </is>
      </c>
      <c r="E1" s="5" t="inlineStr">
        <is>
          <t>agronomo</t>
        </is>
      </c>
      <c r="F1" s="5" t="inlineStr">
        <is>
          <t>hectareas</t>
        </is>
      </c>
    </row>
    <row r="2" ht="14.25" customHeight="1">
      <c r="A2" s="6" t="inlineStr">
        <is>
          <t>AR01</t>
        </is>
      </c>
      <c r="B2" s="6" t="inlineStr">
        <is>
          <t>arandano</t>
        </is>
      </c>
      <c r="C2" s="6" t="inlineStr">
        <is>
          <t>PDJ Sgto. Moya</t>
        </is>
      </c>
      <c r="D2" s="6" t="inlineStr">
        <is>
          <t>PDJ</t>
        </is>
      </c>
      <c r="E2" s="6" t="inlineStr">
        <is>
          <t>Carlino</t>
        </is>
      </c>
      <c r="F2" s="7" t="n">
        <v>77.5</v>
      </c>
    </row>
    <row r="3" ht="14.25" customHeight="1">
      <c r="A3" s="6" t="inlineStr">
        <is>
          <t>AR02</t>
        </is>
      </c>
      <c r="B3" s="6" t="inlineStr">
        <is>
          <t>arandano</t>
        </is>
      </c>
      <c r="C3" s="6" t="inlineStr">
        <is>
          <t>La Loma</t>
        </is>
      </c>
      <c r="D3" s="6" t="inlineStr">
        <is>
          <t>Fruit Crop</t>
        </is>
      </c>
      <c r="E3" s="6" t="inlineStr">
        <is>
          <t>Carlino</t>
        </is>
      </c>
      <c r="F3" s="7" t="n">
        <v>42</v>
      </c>
    </row>
    <row r="4" ht="14.25" customHeight="1">
      <c r="A4" s="6" t="inlineStr">
        <is>
          <t>AR03</t>
        </is>
      </c>
      <c r="B4" s="6" t="inlineStr">
        <is>
          <t>arandano</t>
        </is>
      </c>
      <c r="C4" s="6" t="inlineStr">
        <is>
          <t>La Angostura</t>
        </is>
      </c>
      <c r="D4" s="6" t="inlineStr">
        <is>
          <t>Fruit Crop</t>
        </is>
      </c>
      <c r="E4" s="6" t="inlineStr">
        <is>
          <t>Carlino</t>
        </is>
      </c>
      <c r="F4" s="7" t="n">
        <v>21.8</v>
      </c>
    </row>
    <row r="5" ht="14.25" customHeight="1">
      <c r="A5" s="6" t="inlineStr">
        <is>
          <t>AR04</t>
        </is>
      </c>
      <c r="B5" s="6" t="inlineStr">
        <is>
          <t>arandano</t>
        </is>
      </c>
      <c r="C5" s="6" t="inlineStr">
        <is>
          <t>El Molino</t>
        </is>
      </c>
      <c r="D5" s="6" t="inlineStr">
        <is>
          <t>Fruit Crop</t>
        </is>
      </c>
      <c r="E5" s="6" t="inlineStr">
        <is>
          <t>Carlino</t>
        </is>
      </c>
      <c r="F5" s="7" t="n">
        <v>20</v>
      </c>
    </row>
    <row r="6" ht="14.25" customHeight="1">
      <c r="A6" s="6" t="inlineStr">
        <is>
          <t>AR05</t>
        </is>
      </c>
      <c r="B6" s="6" t="inlineStr">
        <is>
          <t>arandano</t>
        </is>
      </c>
      <c r="C6" s="6" t="inlineStr">
        <is>
          <t>Palma Sola</t>
        </is>
      </c>
      <c r="D6" s="6" t="inlineStr">
        <is>
          <t>Fruit Crop</t>
        </is>
      </c>
      <c r="E6" s="6" t="inlineStr">
        <is>
          <t>Modernel</t>
        </is>
      </c>
      <c r="F6" s="7" t="n">
        <v>19.8</v>
      </c>
    </row>
    <row r="7" ht="14.25" customHeight="1">
      <c r="A7" s="8" t="inlineStr">
        <is>
          <t>AR06</t>
        </is>
      </c>
      <c r="B7" s="8" t="inlineStr">
        <is>
          <t>arandano</t>
        </is>
      </c>
      <c r="C7" s="8" t="inlineStr">
        <is>
          <t>Orlando</t>
        </is>
      </c>
      <c r="D7" s="8" t="inlineStr">
        <is>
          <t>PDJ</t>
        </is>
      </c>
      <c r="E7" s="8" t="inlineStr">
        <is>
          <t>Carlino</t>
        </is>
      </c>
      <c r="F7" s="9" t="n">
        <v>0</v>
      </c>
    </row>
    <row r="8" ht="14.25" customHeight="1">
      <c r="A8" s="6" t="inlineStr">
        <is>
          <t>LM01</t>
        </is>
      </c>
      <c r="B8" s="6" t="inlineStr">
        <is>
          <t>limon</t>
        </is>
      </c>
      <c r="C8" s="6" t="inlineStr">
        <is>
          <t>Yaquilo</t>
        </is>
      </c>
      <c r="D8" s="6" t="inlineStr">
        <is>
          <t>Fruit Crop</t>
        </is>
      </c>
      <c r="E8" s="6" t="inlineStr">
        <is>
          <t>Casadei</t>
        </is>
      </c>
      <c r="F8" s="7" t="n">
        <v>140</v>
      </c>
    </row>
    <row r="9" ht="14.25" customHeight="1">
      <c r="A9" s="6" t="inlineStr">
        <is>
          <t>LM02</t>
        </is>
      </c>
      <c r="B9" s="6" t="inlineStr">
        <is>
          <t>limon</t>
        </is>
      </c>
      <c r="C9" s="6" t="inlineStr">
        <is>
          <t>Casanova</t>
        </is>
      </c>
      <c r="D9" s="6" t="inlineStr">
        <is>
          <t>Fruit Crop</t>
        </is>
      </c>
      <c r="E9" s="6" t="inlineStr">
        <is>
          <t>Casadei</t>
        </is>
      </c>
      <c r="F9" s="7" t="n">
        <v>40</v>
      </c>
    </row>
    <row r="10" ht="14.25" customHeight="1">
      <c r="A10" s="6" t="inlineStr">
        <is>
          <t>LM03</t>
        </is>
      </c>
      <c r="B10" s="6" t="inlineStr">
        <is>
          <t>limon</t>
        </is>
      </c>
      <c r="C10" s="6" t="inlineStr">
        <is>
          <t>Tajamar</t>
        </is>
      </c>
      <c r="D10" s="6" t="inlineStr">
        <is>
          <t>Greenpack</t>
        </is>
      </c>
      <c r="E10" s="6" t="inlineStr">
        <is>
          <t>Casadei</t>
        </is>
      </c>
      <c r="F10" s="7" t="n">
        <v>130</v>
      </c>
    </row>
    <row r="11" ht="14.25" customHeight="1">
      <c r="A11" s="6" t="inlineStr">
        <is>
          <t>LM04</t>
        </is>
      </c>
      <c r="B11" s="6" t="inlineStr">
        <is>
          <t>limon</t>
        </is>
      </c>
      <c r="C11" s="6" t="inlineStr">
        <is>
          <t>Monte Grande</t>
        </is>
      </c>
      <c r="D11" s="6" t="inlineStr">
        <is>
          <t>Greenpack</t>
        </is>
      </c>
      <c r="E11" s="6" t="inlineStr">
        <is>
          <t>Casadei</t>
        </is>
      </c>
      <c r="F11" s="7" t="n">
        <v>45</v>
      </c>
    </row>
    <row r="12" ht="14.25" customHeight="1">
      <c r="A12" s="6" t="inlineStr">
        <is>
          <t>CA01</t>
        </is>
      </c>
      <c r="B12" s="6" t="inlineStr">
        <is>
          <t>cana</t>
        </is>
      </c>
      <c r="C12" s="6" t="inlineStr">
        <is>
          <t>Cana de Azucar</t>
        </is>
      </c>
      <c r="D12" s="6" t="inlineStr">
        <is>
          <t>Greenpack</t>
        </is>
      </c>
      <c r="E12" s="6" t="inlineStr">
        <is>
          <t>Casadei</t>
        </is>
      </c>
      <c r="F12" s="7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.6640625" customWidth="1" min="5" max="5"/>
    <col width="14.21875" customWidth="1" min="6" max="6"/>
    <col width="13.21875" customWidth="1" min="7" max="7"/>
    <col width="16" customWidth="1" min="8" max="8"/>
    <col width="18.109375" customWidth="1" min="9" max="9"/>
    <col width="14" customWidth="1" min="10" max="10"/>
    <col width="17" customWidth="1" min="11" max="11"/>
    <col width="14" customWidth="1" min="12" max="12"/>
    <col width="17" customWidth="1" min="13" max="13"/>
    <col width="10" customWidth="1" min="14" max="14"/>
    <col width="17" customWidth="1" min="15" max="15"/>
    <col width="10" customWidth="1" min="16" max="16"/>
    <col width="17" customWidth="1" min="17" max="17"/>
    <col width="10" customWidth="1" min="18" max="18"/>
    <col width="17" customWidth="1" min="19" max="19"/>
    <col width="10" customWidth="1" min="20" max="20"/>
  </cols>
  <sheetData>
    <row r="1" ht="14.25" customHeight="1">
      <c r="A1" s="5" t="inlineStr">
        <is>
          <t>id_campo</t>
        </is>
      </c>
      <c r="B1" s="5" t="inlineStr">
        <is>
          <t>temporada</t>
        </is>
      </c>
      <c r="C1" s="5" t="inlineStr">
        <is>
          <t>kg_totales</t>
        </is>
      </c>
      <c r="D1" s="5" t="inlineStr">
        <is>
          <t>kg_ha</t>
        </is>
      </c>
      <c r="E1" s="5" t="inlineStr">
        <is>
          <t>costo_ha_usd</t>
        </is>
      </c>
      <c r="F1" s="5" t="inlineStr">
        <is>
          <t>ingreso_ha_usd</t>
        </is>
      </c>
      <c r="G1" s="5" t="inlineStr">
        <is>
          <t>precio_kg_usd</t>
        </is>
      </c>
      <c r="H1" s="5" t="inlineStr">
        <is>
          <t>plantas_ha</t>
        </is>
      </c>
      <c r="I1" s="5" t="inlineStr">
        <is>
          <t>edad_plantacion</t>
        </is>
      </c>
      <c r="J1" s="10" t="inlineStr">
        <is>
          <t>variedad_1_nombre</t>
        </is>
      </c>
      <c r="K1" s="10" t="inlineStr">
        <is>
          <t>variedad_1_pct</t>
        </is>
      </c>
      <c r="L1" s="10" t="inlineStr">
        <is>
          <t>variedad_2_nombre</t>
        </is>
      </c>
      <c r="M1" s="10" t="inlineStr">
        <is>
          <t>variedad_2_pct</t>
        </is>
      </c>
      <c r="N1" s="10" t="inlineStr">
        <is>
          <t>variedad_3_nombre</t>
        </is>
      </c>
      <c r="O1" s="10" t="inlineStr">
        <is>
          <t>variedad_3_pct</t>
        </is>
      </c>
      <c r="P1" s="10" t="inlineStr">
        <is>
          <t>variedad_4_nombre</t>
        </is>
      </c>
      <c r="Q1" s="10" t="inlineStr">
        <is>
          <t>variedad_4_pct</t>
        </is>
      </c>
      <c r="R1" s="10" t="inlineStr">
        <is>
          <t>variedad_5_nombre</t>
        </is>
      </c>
      <c r="S1" s="10" t="inlineStr">
        <is>
          <t>variedad_5_pct</t>
        </is>
      </c>
      <c r="T1" s="10" t="inlineStr">
        <is>
          <t>variedad_6_nombre</t>
        </is>
      </c>
      <c r="U1" s="10" t="inlineStr">
        <is>
          <t>variedad_6_pct</t>
        </is>
      </c>
    </row>
    <row r="2" ht="14.25" customHeight="1">
      <c r="A2" s="6" t="inlineStr">
        <is>
          <t>AR01</t>
        </is>
      </c>
      <c r="B2" s="11" t="n">
        <v>2026</v>
      </c>
      <c r="C2" s="12" t="n">
        <v>702372</v>
      </c>
      <c r="D2" s="13">
        <f>IF(C2="","",C2/VLOOKUP(A2,Campos!$A:$F,6,FALSE()))</f>
        <v/>
      </c>
      <c r="E2" s="12" t="n">
        <v>12000</v>
      </c>
      <c r="F2" s="14">
        <f>IF(OR(D2="",G2=""),"",D2*G2)</f>
        <v/>
      </c>
      <c r="G2" s="15" t="n">
        <v>4.52</v>
      </c>
      <c r="H2" s="12" t="n">
        <v>3432</v>
      </c>
      <c r="I2" s="12" t="n">
        <v>6</v>
      </c>
      <c r="J2" s="6" t="inlineStr">
        <is>
          <t>Emerald</t>
        </is>
      </c>
      <c r="K2" s="16" t="n">
        <v>0.45</v>
      </c>
      <c r="L2" s="6" t="inlineStr">
        <is>
          <t>Slender</t>
        </is>
      </c>
      <c r="M2" s="16" t="n">
        <v>0.35</v>
      </c>
      <c r="N2" s="6" t="inlineStr">
        <is>
          <t>Biloxi</t>
        </is>
      </c>
      <c r="O2" s="16" t="n">
        <v>0.2</v>
      </c>
      <c r="P2" s="6" t="n"/>
      <c r="Q2" s="16" t="n"/>
      <c r="R2" s="6" t="n"/>
      <c r="S2" s="16" t="n"/>
      <c r="T2" s="6" t="n"/>
      <c r="U2" s="16" t="n"/>
    </row>
    <row r="3" ht="14.25" customHeight="1">
      <c r="A3" s="6" t="inlineStr">
        <is>
          <t>AR02</t>
        </is>
      </c>
      <c r="B3" s="11" t="n">
        <v>2026</v>
      </c>
      <c r="C3" s="12" t="n">
        <v>382194</v>
      </c>
      <c r="D3" s="13">
        <f>IF(C3="","",C3/VLOOKUP(A3,Campos!$A:$F,6,FALSE()))</f>
        <v/>
      </c>
      <c r="E3" s="12" t="n">
        <v>11500</v>
      </c>
      <c r="F3" s="14">
        <f>IF(OR(D3="",G3=""),"",D3*G3)</f>
        <v/>
      </c>
      <c r="G3" s="15" t="n">
        <v>4.11</v>
      </c>
      <c r="H3" s="12" t="n">
        <v>3286</v>
      </c>
      <c r="I3" s="12" t="n">
        <v>4</v>
      </c>
      <c r="J3" s="6" t="inlineStr">
        <is>
          <t>Emerald</t>
        </is>
      </c>
      <c r="K3" s="16" t="n">
        <v>0.4</v>
      </c>
      <c r="L3" s="6" t="inlineStr">
        <is>
          <t>Tafi</t>
        </is>
      </c>
      <c r="M3" s="16" t="n">
        <v>0.35</v>
      </c>
      <c r="N3" s="6" t="inlineStr">
        <is>
          <t>Snowchaser</t>
        </is>
      </c>
      <c r="O3" s="16" t="n">
        <v>0.25</v>
      </c>
      <c r="P3" s="6" t="n"/>
      <c r="Q3" s="16" t="n"/>
      <c r="R3" s="6" t="n"/>
      <c r="S3" s="16" t="n"/>
      <c r="T3" s="6" t="n"/>
      <c r="U3" s="16" t="n"/>
    </row>
    <row r="4" ht="14.25" customHeight="1">
      <c r="A4" s="6" t="inlineStr">
        <is>
          <t>AR03</t>
        </is>
      </c>
      <c r="B4" s="11" t="n">
        <v>2026</v>
      </c>
      <c r="C4" s="12" t="n">
        <v>201890</v>
      </c>
      <c r="D4" s="13">
        <f>IF(C4="","",C4/VLOOKUP(A4,Campos!$A:$F,6,FALSE()))</f>
        <v/>
      </c>
      <c r="E4" s="12" t="n">
        <v>13000</v>
      </c>
      <c r="F4" s="14">
        <f>IF(OR(D4="",G4=""),"",D4*G4)</f>
        <v/>
      </c>
      <c r="G4" s="15" t="n">
        <v>5.01</v>
      </c>
      <c r="H4" s="12" t="n">
        <v>4495</v>
      </c>
      <c r="I4" s="12" t="n">
        <v>9</v>
      </c>
      <c r="J4" s="6" t="inlineStr">
        <is>
          <t>Emerald</t>
        </is>
      </c>
      <c r="K4" s="16" t="n">
        <v>0.6</v>
      </c>
      <c r="L4" s="6" t="inlineStr">
        <is>
          <t>Biloxi</t>
        </is>
      </c>
      <c r="M4" s="16" t="n">
        <v>0.4</v>
      </c>
      <c r="N4" s="6" t="n"/>
      <c r="O4" s="16" t="n"/>
      <c r="P4" s="6" t="n"/>
      <c r="Q4" s="16" t="n"/>
      <c r="R4" s="6" t="n"/>
      <c r="S4" s="16" t="n"/>
      <c r="T4" s="6" t="n"/>
      <c r="U4" s="16" t="n"/>
    </row>
    <row r="5" ht="14.25" customHeight="1">
      <c r="A5" s="6" t="inlineStr">
        <is>
          <t>AR04</t>
        </is>
      </c>
      <c r="B5" s="11" t="n">
        <v>2026</v>
      </c>
      <c r="C5" s="12" t="n">
        <v>64800</v>
      </c>
      <c r="D5" s="13">
        <f>IF(C5="","",C5/VLOOKUP(A5,Campos!$A:$F,6,FALSE()))</f>
        <v/>
      </c>
      <c r="E5" s="12" t="n">
        <v>12500</v>
      </c>
      <c r="F5" s="14">
        <f>IF(OR(D5="",G5=""),"",D5*G5)</f>
        <v/>
      </c>
      <c r="G5" s="15" t="n">
        <v>4.5</v>
      </c>
      <c r="H5" s="12" t="n">
        <v>500</v>
      </c>
      <c r="I5" s="12" t="n">
        <v>1</v>
      </c>
      <c r="J5" s="6" t="inlineStr">
        <is>
          <t>Tafi</t>
        </is>
      </c>
      <c r="K5" s="16" t="n">
        <v>0.4</v>
      </c>
      <c r="L5" s="6" t="inlineStr">
        <is>
          <t>Snowchaser</t>
        </is>
      </c>
      <c r="M5" s="16" t="n">
        <v>0.35</v>
      </c>
      <c r="N5" s="6" t="inlineStr">
        <is>
          <t>Slender</t>
        </is>
      </c>
      <c r="O5" s="16" t="n">
        <v>0.25</v>
      </c>
      <c r="P5" s="6" t="n"/>
      <c r="Q5" s="16" t="n"/>
      <c r="R5" s="6" t="n"/>
      <c r="S5" s="16" t="n"/>
      <c r="T5" s="6" t="n"/>
      <c r="U5" s="16" t="n"/>
    </row>
    <row r="6" ht="14.25" customHeight="1">
      <c r="A6" s="6" t="inlineStr">
        <is>
          <t>AR05</t>
        </is>
      </c>
      <c r="B6" s="11" t="n">
        <v>2026</v>
      </c>
      <c r="C6" s="12" t="n">
        <v>244489</v>
      </c>
      <c r="D6" s="13">
        <f>IF(C6="","",C6/VLOOKUP(A6,Campos!$A:$F,6,FALSE()))</f>
        <v/>
      </c>
      <c r="E6" s="12" t="n">
        <v>11000</v>
      </c>
      <c r="F6" s="14">
        <f>IF(OR(D6="",G6=""),"",D6*G6)</f>
        <v/>
      </c>
      <c r="G6" s="15" t="n">
        <v>3.3</v>
      </c>
      <c r="H6" s="12" t="n">
        <v>3283</v>
      </c>
      <c r="I6" s="12" t="n">
        <v>3</v>
      </c>
      <c r="J6" s="6" t="inlineStr">
        <is>
          <t>Emerald</t>
        </is>
      </c>
      <c r="K6" s="16" t="n">
        <v>0.3</v>
      </c>
      <c r="L6" s="6" t="inlineStr">
        <is>
          <t>Slender</t>
        </is>
      </c>
      <c r="M6" s="16" t="n">
        <v>0.3</v>
      </c>
      <c r="N6" s="6" t="inlineStr">
        <is>
          <t>Snowchaser</t>
        </is>
      </c>
      <c r="O6" s="16" t="n">
        <v>0.25</v>
      </c>
      <c r="P6" s="6" t="inlineStr">
        <is>
          <t>Naike</t>
        </is>
      </c>
      <c r="Q6" s="16" t="n">
        <v>0.15</v>
      </c>
      <c r="R6" s="6" t="n"/>
      <c r="S6" s="16" t="n"/>
      <c r="T6" s="6" t="n"/>
      <c r="U6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.6640625" customWidth="1" min="5" max="5"/>
    <col width="14.21875" customWidth="1" min="6" max="6"/>
    <col width="12" customWidth="1" min="7" max="7"/>
    <col width="16" customWidth="1" min="8" max="8"/>
    <col width="17" customWidth="1" min="9" max="9"/>
    <col width="10" customWidth="1" min="10" max="10"/>
    <col width="17" customWidth="1" min="11" max="11"/>
    <col width="10" customWidth="1" min="12" max="12"/>
    <col width="17" customWidth="1" min="13" max="13"/>
    <col width="10" customWidth="1" min="14" max="14"/>
    <col width="17" customWidth="1" min="15" max="15"/>
    <col width="10" customWidth="1" min="16" max="16"/>
    <col width="17" customWidth="1" min="17" max="17"/>
    <col width="10" customWidth="1" min="18" max="18"/>
    <col width="17" customWidth="1" min="19" max="19"/>
    <col width="10" customWidth="1" min="20" max="20"/>
  </cols>
  <sheetData>
    <row r="1" ht="14.25" customHeight="1">
      <c r="A1" s="5" t="inlineStr">
        <is>
          <t>id_campo</t>
        </is>
      </c>
      <c r="B1" s="5" t="inlineStr">
        <is>
          <t>temporada</t>
        </is>
      </c>
      <c r="C1" s="5" t="inlineStr">
        <is>
          <t>kg_totales</t>
        </is>
      </c>
      <c r="D1" s="5" t="inlineStr">
        <is>
          <t>kg_ha</t>
        </is>
      </c>
      <c r="E1" s="5" t="inlineStr">
        <is>
          <t>costo_ha_usd</t>
        </is>
      </c>
      <c r="F1" s="5" t="inlineStr">
        <is>
          <t>ingreso_ha_usd</t>
        </is>
      </c>
      <c r="G1" s="5" t="inlineStr">
        <is>
          <t>precio_kg_usd</t>
        </is>
      </c>
      <c r="H1" s="5" t="inlineStr">
        <is>
          <t>plantas_ha</t>
        </is>
      </c>
      <c r="I1" s="5" t="inlineStr">
        <is>
          <t>edad_plantacion</t>
        </is>
      </c>
      <c r="J1" s="10" t="inlineStr">
        <is>
          <t>variedad_1_nombre</t>
        </is>
      </c>
      <c r="K1" s="10" t="inlineStr">
        <is>
          <t>variedad_1_pct</t>
        </is>
      </c>
      <c r="L1" s="10" t="inlineStr">
        <is>
          <t>variedad_2_nombre</t>
        </is>
      </c>
      <c r="M1" s="10" t="inlineStr">
        <is>
          <t>variedad_2_pct</t>
        </is>
      </c>
      <c r="N1" s="10" t="inlineStr">
        <is>
          <t>variedad_3_nombre</t>
        </is>
      </c>
      <c r="O1" s="10" t="inlineStr">
        <is>
          <t>variedad_3_pct</t>
        </is>
      </c>
      <c r="P1" s="10" t="inlineStr">
        <is>
          <t>variedad_4_nombre</t>
        </is>
      </c>
      <c r="Q1" s="10" t="inlineStr">
        <is>
          <t>variedad_4_pct</t>
        </is>
      </c>
      <c r="R1" s="10" t="inlineStr">
        <is>
          <t>variedad_5_nombre</t>
        </is>
      </c>
      <c r="S1" s="10" t="inlineStr">
        <is>
          <t>variedad_5_pct</t>
        </is>
      </c>
      <c r="T1" s="10" t="inlineStr">
        <is>
          <t>variedad_6_nombre</t>
        </is>
      </c>
      <c r="U1" s="10" t="inlineStr">
        <is>
          <t>variedad_6_pct</t>
        </is>
      </c>
    </row>
    <row r="2" ht="14.25" customHeight="1">
      <c r="A2" s="6" t="inlineStr">
        <is>
          <t>LM01</t>
        </is>
      </c>
      <c r="B2" s="11" t="n">
        <v>2026</v>
      </c>
      <c r="C2" s="12" t="n">
        <v>4515420</v>
      </c>
      <c r="D2" s="13">
        <f>IF(C2="","",C2/VLOOKUP(A2,Campos!$A:$F,6,FALSE()))</f>
        <v/>
      </c>
      <c r="E2" s="12" t="n">
        <v>4200</v>
      </c>
      <c r="F2" s="14">
        <f>IF(OR(D2="",G2=""),"",D2*G2)</f>
        <v/>
      </c>
      <c r="G2" s="15" t="n">
        <v>0.584</v>
      </c>
      <c r="H2" s="12" t="n">
        <v>474</v>
      </c>
      <c r="I2" s="12" t="n">
        <v>14</v>
      </c>
      <c r="J2" s="6" t="inlineStr">
        <is>
          <t>Eureka</t>
        </is>
      </c>
      <c r="K2" s="16" t="n">
        <v>0.7</v>
      </c>
      <c r="L2" s="6" t="inlineStr">
        <is>
          <t>Genova</t>
        </is>
      </c>
      <c r="M2" s="16" t="n">
        <v>0.3</v>
      </c>
      <c r="N2" s="6" t="n"/>
      <c r="O2" s="16" t="n"/>
      <c r="P2" s="6" t="n"/>
      <c r="Q2" s="16" t="n"/>
      <c r="R2" s="6" t="n"/>
      <c r="S2" s="16" t="n"/>
      <c r="T2" s="6" t="n"/>
      <c r="U2" s="16" t="n"/>
    </row>
    <row r="3" ht="14.25" customHeight="1">
      <c r="A3" s="6" t="inlineStr">
        <is>
          <t>LM02</t>
        </is>
      </c>
      <c r="B3" s="11" t="n">
        <v>2026</v>
      </c>
      <c r="C3" s="12" t="n">
        <v>1108688</v>
      </c>
      <c r="D3" s="13">
        <f>IF(C3="","",C3/VLOOKUP(A3,Campos!$A:$F,6,FALSE()))</f>
        <v/>
      </c>
      <c r="E3" s="12" t="n">
        <v>6000</v>
      </c>
      <c r="F3" s="14">
        <f>IF(OR(D3="",G3=""),"",D3*G3)</f>
        <v/>
      </c>
      <c r="G3" s="15" t="n">
        <v>0.584</v>
      </c>
      <c r="H3" s="12" t="n">
        <v>413</v>
      </c>
      <c r="I3" s="12" t="n">
        <v>22</v>
      </c>
      <c r="J3" s="6" t="inlineStr">
        <is>
          <t>Eureka</t>
        </is>
      </c>
      <c r="K3" s="16" t="n">
        <v>0.6</v>
      </c>
      <c r="L3" s="6" t="inlineStr">
        <is>
          <t>Lisbon</t>
        </is>
      </c>
      <c r="M3" s="16" t="n">
        <v>0.4</v>
      </c>
      <c r="N3" s="6" t="n"/>
      <c r="O3" s="16" t="n"/>
      <c r="P3" s="6" t="n"/>
      <c r="Q3" s="16" t="n"/>
      <c r="R3" s="6" t="n"/>
      <c r="S3" s="16" t="n"/>
      <c r="T3" s="6" t="n"/>
      <c r="U3" s="16" t="n"/>
    </row>
    <row r="4" ht="14.25" customHeight="1">
      <c r="A4" s="6" t="inlineStr">
        <is>
          <t>LM03</t>
        </is>
      </c>
      <c r="B4" s="11" t="n">
        <v>2026</v>
      </c>
      <c r="C4" s="12" t="n">
        <v>2761449</v>
      </c>
      <c r="D4" s="13">
        <f>IF(C4="","",C4/VLOOKUP(A4,Campos!$A:$F,6,FALSE()))</f>
        <v/>
      </c>
      <c r="E4" s="12" t="n">
        <v>5000</v>
      </c>
      <c r="F4" s="14">
        <f>IF(OR(D4="",G4=""),"",D4*G4)</f>
        <v/>
      </c>
      <c r="G4" s="15" t="n">
        <v>0.584</v>
      </c>
      <c r="H4" s="12" t="n">
        <v>373</v>
      </c>
      <c r="I4" s="12" t="n">
        <v>11</v>
      </c>
      <c r="J4" s="6" t="inlineStr">
        <is>
          <t>Eureka</t>
        </is>
      </c>
      <c r="K4" s="16" t="n">
        <v>0.5</v>
      </c>
      <c r="L4" s="6" t="inlineStr">
        <is>
          <t>Genova</t>
        </is>
      </c>
      <c r="M4" s="16" t="n">
        <v>0.3</v>
      </c>
      <c r="N4" s="6" t="inlineStr">
        <is>
          <t>Lisbon</t>
        </is>
      </c>
      <c r="O4" s="16" t="n">
        <v>0.2</v>
      </c>
      <c r="P4" s="6" t="n"/>
      <c r="Q4" s="16" t="n"/>
      <c r="R4" s="6" t="n"/>
      <c r="S4" s="16" t="n"/>
      <c r="T4" s="6" t="n"/>
      <c r="U4" s="16" t="n"/>
    </row>
    <row r="5" ht="14.25" customHeight="1">
      <c r="A5" s="6" t="inlineStr">
        <is>
          <t>LM04</t>
        </is>
      </c>
      <c r="B5" s="11" t="n">
        <v>2026</v>
      </c>
      <c r="C5" s="12" t="n">
        <v>213847</v>
      </c>
      <c r="D5" s="13">
        <f>IF(C5="","",C5/VLOOKUP(A5,Campos!$A:$F,6,FALSE()))</f>
        <v/>
      </c>
      <c r="E5" s="12" t="n">
        <v>4550</v>
      </c>
      <c r="F5" s="14">
        <f>IF(OR(D5="",G5=""),"",D5*G5)</f>
        <v/>
      </c>
      <c r="G5" s="15" t="n">
        <v>0.584</v>
      </c>
      <c r="H5" s="12" t="n">
        <v>309</v>
      </c>
      <c r="I5" s="12" t="n">
        <v>8</v>
      </c>
      <c r="J5" s="6" t="inlineStr">
        <is>
          <t>Eureka</t>
        </is>
      </c>
      <c r="K5" s="16" t="n">
        <v>0.65</v>
      </c>
      <c r="L5" s="6" t="inlineStr">
        <is>
          <t>Genova</t>
        </is>
      </c>
      <c r="M5" s="16" t="n">
        <v>0.35</v>
      </c>
      <c r="N5" s="6" t="n"/>
      <c r="O5" s="16" t="n"/>
      <c r="P5" s="6" t="n"/>
      <c r="Q5" s="16" t="n"/>
      <c r="R5" s="6" t="n"/>
      <c r="S5" s="16" t="n"/>
      <c r="T5" s="6" t="n"/>
      <c r="U5" s="1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6" max="6"/>
    <col width="12" customWidth="1" min="7" max="7"/>
    <col width="16" customWidth="1" min="8" max="8"/>
    <col width="17" customWidth="1" min="9" max="9"/>
    <col width="10" customWidth="1" min="10" max="10"/>
    <col width="17" customWidth="1" min="11" max="11"/>
    <col width="10" customWidth="1" min="12" max="12"/>
    <col width="17" customWidth="1" min="13" max="13"/>
    <col width="10" customWidth="1" min="14" max="14"/>
    <col width="17" customWidth="1" min="15" max="15"/>
    <col width="10" customWidth="1" min="16" max="16"/>
    <col width="17" customWidth="1" min="17" max="17"/>
    <col width="10" customWidth="1" min="18" max="18"/>
    <col width="17" customWidth="1" min="19" max="19"/>
    <col width="10" customWidth="1" min="20" max="20"/>
  </cols>
  <sheetData>
    <row r="1" ht="14.25" customHeight="1">
      <c r="A1" s="5" t="inlineStr">
        <is>
          <t>id_campo</t>
        </is>
      </c>
      <c r="B1" s="5" t="inlineStr">
        <is>
          <t>temporada</t>
        </is>
      </c>
      <c r="C1" s="5" t="inlineStr">
        <is>
          <t>kg_totales</t>
        </is>
      </c>
      <c r="D1" s="5" t="inlineStr">
        <is>
          <t>kg_ha</t>
        </is>
      </c>
      <c r="E1" s="5" t="inlineStr">
        <is>
          <t>costo_ha_usd</t>
        </is>
      </c>
      <c r="F1" s="5" t="inlineStr">
        <is>
          <t>ingreso_ha_usd</t>
        </is>
      </c>
      <c r="G1" s="5" t="inlineStr">
        <is>
          <t>precio_kg_usd</t>
        </is>
      </c>
      <c r="H1" s="5" t="inlineStr">
        <is>
          <t>plantas_ha</t>
        </is>
      </c>
      <c r="I1" s="5" t="inlineStr">
        <is>
          <t>edad_plantacion</t>
        </is>
      </c>
      <c r="J1" s="10" t="inlineStr">
        <is>
          <t>variedad_1_nombre</t>
        </is>
      </c>
      <c r="K1" s="10" t="inlineStr">
        <is>
          <t>variedad_1_pct</t>
        </is>
      </c>
      <c r="L1" s="10" t="inlineStr">
        <is>
          <t>variedad_2_nombre</t>
        </is>
      </c>
      <c r="M1" s="10" t="inlineStr">
        <is>
          <t>variedad_2_pct</t>
        </is>
      </c>
      <c r="N1" s="10" t="inlineStr">
        <is>
          <t>variedad_3_nombre</t>
        </is>
      </c>
      <c r="O1" s="10" t="inlineStr">
        <is>
          <t>variedad_3_pct</t>
        </is>
      </c>
      <c r="P1" s="10" t="inlineStr">
        <is>
          <t>variedad_4_nombre</t>
        </is>
      </c>
      <c r="Q1" s="10" t="inlineStr">
        <is>
          <t>variedad_4_pct</t>
        </is>
      </c>
      <c r="R1" s="10" t="inlineStr">
        <is>
          <t>variedad_5_nombre</t>
        </is>
      </c>
      <c r="S1" s="10" t="inlineStr">
        <is>
          <t>variedad_5_pct</t>
        </is>
      </c>
      <c r="T1" s="10" t="inlineStr">
        <is>
          <t>variedad_6_nombre</t>
        </is>
      </c>
      <c r="U1" s="10" t="inlineStr">
        <is>
          <t>variedad_6_pct</t>
        </is>
      </c>
    </row>
    <row r="2" ht="14.25" customHeight="1">
      <c r="A2" s="6" t="inlineStr">
        <is>
          <t>CA01</t>
        </is>
      </c>
      <c r="B2" s="11" t="n">
        <v>2026</v>
      </c>
      <c r="C2" s="12" t="n">
        <v>0</v>
      </c>
      <c r="D2" s="13">
        <f>IF(C2="","",C2/VLOOKUP(A2,Campos!$A:$F,6,FALSE()))</f>
        <v/>
      </c>
      <c r="E2" s="12" t="n">
        <v>0</v>
      </c>
      <c r="F2" s="14">
        <f>IF(OR(D2="",G2=""),"",D2*G2)</f>
        <v/>
      </c>
      <c r="G2" s="15" t="n">
        <v>0</v>
      </c>
      <c r="H2" s="12" t="n"/>
      <c r="I2" s="12" t="n">
        <v>3</v>
      </c>
      <c r="J2" s="6" t="n"/>
      <c r="K2" s="16" t="n"/>
      <c r="L2" s="6" t="n"/>
      <c r="M2" s="16" t="n"/>
      <c r="N2" s="6" t="n"/>
      <c r="O2" s="16" t="n"/>
      <c r="P2" s="6" t="n"/>
      <c r="Q2" s="16" t="n"/>
      <c r="R2" s="6" t="n"/>
      <c r="S2" s="16" t="n"/>
      <c r="T2" s="6" t="n"/>
      <c r="U2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8" customWidth="1" min="5" max="5"/>
    <col width="14" customWidth="1" min="6" max="6"/>
  </cols>
  <sheetData>
    <row r="1" ht="15" customHeight="1">
      <c r="A1" s="5" t="inlineStr">
        <is>
          <t>id_campo</t>
        </is>
      </c>
      <c r="B1" s="5" t="inlineStr">
        <is>
          <t>año</t>
        </is>
      </c>
      <c r="C1" s="5" t="inlineStr">
        <is>
          <t>tipo</t>
        </is>
      </c>
      <c r="D1" s="5" t="inlineStr">
        <is>
          <t>hectareas</t>
        </is>
      </c>
      <c r="E1" s="5" t="inlineStr">
        <is>
          <t>variedad</t>
        </is>
      </c>
      <c r="F1" s="5" t="inlineStr">
        <is>
          <t>pct_variedad</t>
        </is>
      </c>
    </row>
    <row r="2" ht="15" customHeight="1">
      <c r="A2" s="6" t="inlineStr">
        <is>
          <t>AR04</t>
        </is>
      </c>
      <c r="B2" s="11" t="n">
        <v>2026</v>
      </c>
      <c r="C2" s="6" t="inlineStr">
        <is>
          <t>nueva</t>
        </is>
      </c>
      <c r="D2" s="7" t="n">
        <v>16</v>
      </c>
      <c r="E2" s="6" t="inlineStr">
        <is>
          <t>por definir</t>
        </is>
      </c>
      <c r="F2" s="17" t="n">
        <v>1</v>
      </c>
    </row>
    <row r="3" ht="15" customHeight="1">
      <c r="A3" s="6" t="inlineStr">
        <is>
          <t>AR02</t>
        </is>
      </c>
      <c r="B3" s="11" t="n">
        <v>2028</v>
      </c>
      <c r="C3" s="6" t="inlineStr">
        <is>
          <t>nueva</t>
        </is>
      </c>
      <c r="D3" s="7" t="n">
        <v>6</v>
      </c>
      <c r="E3" s="6" t="inlineStr">
        <is>
          <t>por definir</t>
        </is>
      </c>
      <c r="F3" s="17" t="n">
        <v>1</v>
      </c>
    </row>
    <row r="4" ht="15" customHeight="1">
      <c r="A4" s="6" t="inlineStr">
        <is>
          <t>AR02</t>
        </is>
      </c>
      <c r="B4" s="11" t="n">
        <v>2028</v>
      </c>
      <c r="C4" s="6" t="inlineStr">
        <is>
          <t>recambio</t>
        </is>
      </c>
      <c r="D4" s="7" t="n">
        <v>4</v>
      </c>
      <c r="E4" s="6" t="inlineStr">
        <is>
          <t>por definir</t>
        </is>
      </c>
      <c r="F4" s="17" t="n">
        <v>1</v>
      </c>
    </row>
    <row r="5" ht="15" customHeight="1">
      <c r="A5" s="6" t="inlineStr">
        <is>
          <t>AR02</t>
        </is>
      </c>
      <c r="B5" s="11" t="n">
        <v>2029</v>
      </c>
      <c r="C5" s="6" t="inlineStr">
        <is>
          <t>recambio</t>
        </is>
      </c>
      <c r="D5" s="7" t="n">
        <v>38</v>
      </c>
      <c r="E5" s="6" t="inlineStr">
        <is>
          <t>por definir</t>
        </is>
      </c>
      <c r="F5" s="17" t="n">
        <v>1</v>
      </c>
    </row>
    <row r="6" ht="15" customHeight="1">
      <c r="A6" s="6" t="inlineStr">
        <is>
          <t>AR01</t>
        </is>
      </c>
      <c r="B6" s="11" t="n">
        <v>2027</v>
      </c>
      <c r="C6" s="6" t="inlineStr">
        <is>
          <t>nueva</t>
        </is>
      </c>
      <c r="D6" s="7" t="n">
        <v>9</v>
      </c>
      <c r="E6" s="6" t="inlineStr">
        <is>
          <t>por definir</t>
        </is>
      </c>
      <c r="F6" s="17" t="n">
        <v>1</v>
      </c>
    </row>
    <row r="7" ht="15" customHeight="1">
      <c r="A7" s="6" t="inlineStr">
        <is>
          <t>AR01</t>
        </is>
      </c>
      <c r="B7" s="11" t="n">
        <v>2028</v>
      </c>
      <c r="C7" s="6" t="inlineStr">
        <is>
          <t>nueva</t>
        </is>
      </c>
      <c r="D7" s="7" t="n">
        <v>8.5</v>
      </c>
      <c r="E7" s="6" t="inlineStr">
        <is>
          <t>por definir</t>
        </is>
      </c>
      <c r="F7" s="17" t="n">
        <v>1</v>
      </c>
    </row>
    <row r="8" ht="15" customHeight="1">
      <c r="A8" s="6" t="inlineStr">
        <is>
          <t>AR01</t>
        </is>
      </c>
      <c r="B8" s="11" t="n">
        <v>2028</v>
      </c>
      <c r="C8" s="6" t="inlineStr">
        <is>
          <t>recambio</t>
        </is>
      </c>
      <c r="D8" s="7" t="n">
        <v>21.5</v>
      </c>
      <c r="E8" s="6" t="inlineStr">
        <is>
          <t>por definir</t>
        </is>
      </c>
      <c r="F8" s="17" t="n">
        <v>1</v>
      </c>
    </row>
    <row r="9" ht="15" customHeight="1">
      <c r="A9" s="6" t="inlineStr">
        <is>
          <t>AR01</t>
        </is>
      </c>
      <c r="B9" s="11" t="n">
        <v>2029</v>
      </c>
      <c r="C9" s="6" t="inlineStr">
        <is>
          <t>recambio</t>
        </is>
      </c>
      <c r="D9" s="7" t="n">
        <v>27</v>
      </c>
      <c r="E9" s="6" t="inlineStr">
        <is>
          <t>por definir</t>
        </is>
      </c>
      <c r="F9" s="17" t="n">
        <v>1</v>
      </c>
    </row>
    <row r="10" ht="15" customHeight="1">
      <c r="A10" s="6" t="inlineStr">
        <is>
          <t>AR01</t>
        </is>
      </c>
      <c r="B10" s="11" t="n">
        <v>2030</v>
      </c>
      <c r="C10" s="6" t="inlineStr">
        <is>
          <t>recambio</t>
        </is>
      </c>
      <c r="D10" s="7" t="n">
        <v>29</v>
      </c>
      <c r="E10" s="6" t="inlineStr">
        <is>
          <t>por definir</t>
        </is>
      </c>
      <c r="F10" s="17" t="n">
        <v>1</v>
      </c>
    </row>
    <row r="11" ht="15" customHeight="1">
      <c r="A11" s="6" t="inlineStr">
        <is>
          <t>AR03</t>
        </is>
      </c>
      <c r="B11" s="11" t="n">
        <v>2030</v>
      </c>
      <c r="C11" s="6" t="inlineStr">
        <is>
          <t>nueva</t>
        </is>
      </c>
      <c r="D11" s="7" t="n">
        <v>0.2</v>
      </c>
      <c r="E11" s="6" t="inlineStr">
        <is>
          <t>por definir</t>
        </is>
      </c>
      <c r="F11" s="17" t="n">
        <v>1</v>
      </c>
    </row>
    <row r="12" ht="15" customHeight="1">
      <c r="A12" s="6" t="inlineStr">
        <is>
          <t>AR03</t>
        </is>
      </c>
      <c r="B12" s="11" t="n">
        <v>2030</v>
      </c>
      <c r="C12" s="6" t="inlineStr">
        <is>
          <t>recambio</t>
        </is>
      </c>
      <c r="D12" s="7" t="n">
        <v>21.8</v>
      </c>
      <c r="E12" s="6" t="inlineStr">
        <is>
          <t>por definir</t>
        </is>
      </c>
      <c r="F12" s="17" t="n">
        <v>1</v>
      </c>
    </row>
    <row r="13" ht="15" customHeight="1">
      <c r="A13" s="6" t="inlineStr">
        <is>
          <t>AR06</t>
        </is>
      </c>
      <c r="B13" s="11" t="n">
        <v>2027</v>
      </c>
      <c r="C13" s="6" t="inlineStr">
        <is>
          <t>nueva</t>
        </is>
      </c>
      <c r="D13" s="7" t="n">
        <v>40</v>
      </c>
      <c r="E13" s="6" t="inlineStr">
        <is>
          <t>por definir</t>
        </is>
      </c>
      <c r="F13" s="17" t="n">
        <v>1</v>
      </c>
    </row>
    <row r="14" ht="15" customHeight="1">
      <c r="A14" s="6" t="inlineStr">
        <is>
          <t>AR06</t>
        </is>
      </c>
      <c r="B14" s="11" t="n">
        <v>2028</v>
      </c>
      <c r="C14" s="6" t="inlineStr">
        <is>
          <t>nueva</t>
        </is>
      </c>
      <c r="D14" s="7" t="n">
        <v>30</v>
      </c>
      <c r="E14" s="6" t="inlineStr">
        <is>
          <t>por definir</t>
        </is>
      </c>
      <c r="F14" s="17" t="n">
        <v>1</v>
      </c>
    </row>
    <row r="15" ht="15" customHeight="1">
      <c r="A15" s="6" t="n"/>
      <c r="B15" s="11" t="n"/>
      <c r="C15" s="6" t="n"/>
      <c r="D15" s="7" t="n"/>
      <c r="E15" s="6" t="n"/>
      <c r="F15" s="17" t="n"/>
    </row>
    <row r="16" ht="15" customHeight="1">
      <c r="A16" s="6" t="n"/>
      <c r="B16" s="11" t="n"/>
      <c r="C16" s="6" t="n"/>
      <c r="D16" s="7" t="n"/>
      <c r="E16" s="6" t="n"/>
      <c r="F16" s="1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9" customWidth="1" min="2" max="2"/>
  </cols>
  <sheetData>
    <row r="1" ht="15" customHeight="1">
      <c r="A1" s="5" t="inlineStr">
        <is>
          <t>variedad</t>
        </is>
      </c>
      <c r="B1" s="5" t="inlineStr">
        <is>
          <t>año_1</t>
        </is>
      </c>
      <c r="C1" s="5" t="inlineStr">
        <is>
          <t>año_2</t>
        </is>
      </c>
      <c r="D1" s="5" t="inlineStr">
        <is>
          <t>año_3</t>
        </is>
      </c>
      <c r="E1" s="5" t="inlineStr">
        <is>
          <t>año_4</t>
        </is>
      </c>
      <c r="F1" s="5" t="inlineStr">
        <is>
          <t>año_5</t>
        </is>
      </c>
      <c r="G1" s="5" t="inlineStr">
        <is>
          <t>año_6</t>
        </is>
      </c>
      <c r="H1" s="5" t="inlineStr">
        <is>
          <t>año_7</t>
        </is>
      </c>
      <c r="I1" s="5" t="inlineStr">
        <is>
          <t>año_8</t>
        </is>
      </c>
      <c r="J1" s="5" t="inlineStr">
        <is>
          <t>año_9</t>
        </is>
      </c>
      <c r="K1" s="5" t="inlineStr">
        <is>
          <t>año_10</t>
        </is>
      </c>
      <c r="L1" s="5" t="inlineStr">
        <is>
          <t>año_11</t>
        </is>
      </c>
      <c r="M1" s="5" t="inlineStr">
        <is>
          <t>año_12</t>
        </is>
      </c>
      <c r="N1" s="5" t="inlineStr">
        <is>
          <t>año_13</t>
        </is>
      </c>
      <c r="O1" s="5" t="inlineStr">
        <is>
          <t>año_14</t>
        </is>
      </c>
      <c r="P1" s="5" t="inlineStr">
        <is>
          <t>año_15</t>
        </is>
      </c>
    </row>
    <row r="2" ht="15" customHeight="1">
      <c r="A2" s="6" t="inlineStr">
        <is>
          <t>por definir</t>
        </is>
      </c>
      <c r="B2" s="18" t="n">
        <v>500</v>
      </c>
      <c r="C2" s="18" t="n">
        <v>3000</v>
      </c>
      <c r="D2" s="18" t="n">
        <v>9000</v>
      </c>
      <c r="E2" s="18" t="n">
        <v>17800</v>
      </c>
      <c r="F2" s="18" t="n">
        <v>17800</v>
      </c>
      <c r="G2" s="18" t="n">
        <v>17800</v>
      </c>
      <c r="H2" s="18" t="n">
        <v>17800</v>
      </c>
      <c r="I2" s="18" t="n">
        <v>17800</v>
      </c>
      <c r="J2" s="18" t="n">
        <v>17800</v>
      </c>
      <c r="K2" s="18" t="n">
        <v>15500</v>
      </c>
      <c r="L2" s="18" t="n">
        <v>13500</v>
      </c>
      <c r="M2" s="18" t="n">
        <v>11500</v>
      </c>
      <c r="N2" s="12" t="n">
        <v>10000</v>
      </c>
      <c r="O2" s="12" t="n">
        <v>10000</v>
      </c>
      <c r="P2" s="12" t="n">
        <v>10000</v>
      </c>
    </row>
    <row r="3" ht="15" customHeight="1">
      <c r="A3" s="6" t="inlineStr">
        <is>
          <t>Tafi</t>
        </is>
      </c>
      <c r="B3" s="18" t="n">
        <v>500</v>
      </c>
      <c r="C3" s="18" t="n">
        <v>3000</v>
      </c>
      <c r="D3" s="18" t="n">
        <v>9000</v>
      </c>
      <c r="E3" s="18" t="n">
        <v>17800</v>
      </c>
      <c r="F3" s="18" t="n">
        <v>17800</v>
      </c>
      <c r="G3" s="18" t="n">
        <v>17800</v>
      </c>
      <c r="H3" s="18" t="n">
        <v>17800</v>
      </c>
      <c r="I3" s="18" t="n">
        <v>17800</v>
      </c>
      <c r="J3" s="18" t="n">
        <v>17800</v>
      </c>
      <c r="K3" s="18" t="n">
        <v>15500</v>
      </c>
      <c r="L3" s="18" t="n">
        <v>13500</v>
      </c>
      <c r="M3" s="18" t="n">
        <v>11500</v>
      </c>
      <c r="N3" s="12" t="n">
        <v>10000</v>
      </c>
      <c r="O3" s="12" t="n">
        <v>10000</v>
      </c>
      <c r="P3" s="12" t="n">
        <v>10000</v>
      </c>
    </row>
    <row r="4" ht="15" customHeight="1">
      <c r="A4" s="6" t="inlineStr">
        <is>
          <t>Slender</t>
        </is>
      </c>
      <c r="B4" s="18" t="n">
        <v>500</v>
      </c>
      <c r="C4" s="18" t="n">
        <v>3000</v>
      </c>
      <c r="D4" s="18" t="n">
        <v>9000</v>
      </c>
      <c r="E4" s="18" t="n">
        <v>17800</v>
      </c>
      <c r="F4" s="18" t="n">
        <v>17800</v>
      </c>
      <c r="G4" s="18" t="n">
        <v>17800</v>
      </c>
      <c r="H4" s="18" t="n">
        <v>17800</v>
      </c>
      <c r="I4" s="18" t="n">
        <v>17800</v>
      </c>
      <c r="J4" s="18" t="n">
        <v>17800</v>
      </c>
      <c r="K4" s="18" t="n">
        <v>15500</v>
      </c>
      <c r="L4" s="18" t="n">
        <v>13500</v>
      </c>
      <c r="M4" s="18" t="n">
        <v>11500</v>
      </c>
      <c r="N4" s="12" t="n">
        <v>10000</v>
      </c>
      <c r="O4" s="12" t="n">
        <v>10000</v>
      </c>
      <c r="P4" s="12" t="n">
        <v>10000</v>
      </c>
    </row>
    <row r="5" ht="15" customHeight="1">
      <c r="A5" s="6" t="inlineStr">
        <is>
          <t>Naike</t>
        </is>
      </c>
      <c r="B5" s="18" t="n">
        <v>500</v>
      </c>
      <c r="C5" s="18" t="n">
        <v>3000</v>
      </c>
      <c r="D5" s="18" t="n">
        <v>9000</v>
      </c>
      <c r="E5" s="18" t="n">
        <v>17800</v>
      </c>
      <c r="F5" s="18" t="n">
        <v>17800</v>
      </c>
      <c r="G5" s="18" t="n">
        <v>17800</v>
      </c>
      <c r="H5" s="18" t="n">
        <v>17800</v>
      </c>
      <c r="I5" s="18" t="n">
        <v>17800</v>
      </c>
      <c r="J5" s="18" t="n">
        <v>17800</v>
      </c>
      <c r="K5" s="18" t="n">
        <v>15500</v>
      </c>
      <c r="L5" s="18" t="n">
        <v>13500</v>
      </c>
      <c r="M5" s="18" t="n">
        <v>11500</v>
      </c>
      <c r="N5" s="12" t="n">
        <v>10000</v>
      </c>
      <c r="O5" s="12" t="n">
        <v>10000</v>
      </c>
      <c r="P5" s="12" t="n">
        <v>10000</v>
      </c>
    </row>
    <row r="6" ht="15" customHeight="1">
      <c r="A6" s="6" t="inlineStr">
        <is>
          <t>Moya</t>
        </is>
      </c>
      <c r="B6" s="18" t="n">
        <v>500</v>
      </c>
      <c r="C6" s="18" t="n">
        <v>3000</v>
      </c>
      <c r="D6" s="18" t="n">
        <v>9000</v>
      </c>
      <c r="E6" s="18" t="n">
        <v>17800</v>
      </c>
      <c r="F6" s="18" t="n">
        <v>17800</v>
      </c>
      <c r="G6" s="18" t="n">
        <v>17800</v>
      </c>
      <c r="H6" s="18" t="n">
        <v>17800</v>
      </c>
      <c r="I6" s="18" t="n">
        <v>17800</v>
      </c>
      <c r="J6" s="18" t="n">
        <v>17800</v>
      </c>
      <c r="K6" s="18" t="n">
        <v>15500</v>
      </c>
      <c r="L6" s="18" t="n">
        <v>13500</v>
      </c>
      <c r="M6" s="18" t="n">
        <v>11500</v>
      </c>
      <c r="N6" s="12" t="n">
        <v>10000</v>
      </c>
      <c r="O6" s="12" t="n">
        <v>10000</v>
      </c>
      <c r="P6" s="12" t="n">
        <v>10000</v>
      </c>
    </row>
    <row r="7" ht="15" customHeight="1">
      <c r="A7" s="6" t="inlineStr">
        <is>
          <t>Pampa</t>
        </is>
      </c>
      <c r="B7" s="18" t="n">
        <v>500</v>
      </c>
      <c r="C7" s="18" t="n">
        <v>3000</v>
      </c>
      <c r="D7" s="18" t="n">
        <v>9000</v>
      </c>
      <c r="E7" s="18" t="n">
        <v>17800</v>
      </c>
      <c r="F7" s="18" t="n">
        <v>17800</v>
      </c>
      <c r="G7" s="18" t="n">
        <v>17800</v>
      </c>
      <c r="H7" s="18" t="n">
        <v>17800</v>
      </c>
      <c r="I7" s="18" t="n">
        <v>17800</v>
      </c>
      <c r="J7" s="18" t="n">
        <v>17800</v>
      </c>
      <c r="K7" s="18" t="n">
        <v>15500</v>
      </c>
      <c r="L7" s="18" t="n">
        <v>13500</v>
      </c>
      <c r="M7" s="18" t="n">
        <v>11500</v>
      </c>
      <c r="N7" s="12" t="n">
        <v>10000</v>
      </c>
      <c r="O7" s="12" t="n">
        <v>10000</v>
      </c>
      <c r="P7" s="12" t="n">
        <v>10000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1" customWidth="1" min="3" max="3"/>
    <col width="16" customWidth="1" min="4" max="4"/>
    <col width="11" customWidth="1" min="5" max="5"/>
    <col width="17" customWidth="1" min="6" max="6"/>
    <col width="11" customWidth="1" min="7" max="7"/>
    <col width="14" customWidth="1" min="8" max="8"/>
    <col width="10.109375" customWidth="1" min="11" max="11"/>
  </cols>
  <sheetData>
    <row r="1">
      <c r="A1" s="5" t="inlineStr">
        <is>
          <t>año</t>
        </is>
      </c>
      <c r="B1" s="5" t="inlineStr">
        <is>
          <t>entidad</t>
        </is>
      </c>
      <c r="C1" s="5" t="inlineStr">
        <is>
          <t>cultivo</t>
        </is>
      </c>
      <c r="D1" s="5" t="inlineStr">
        <is>
          <t>canal</t>
        </is>
      </c>
      <c r="E1" s="5" t="inlineStr">
        <is>
          <t>tipo</t>
        </is>
      </c>
      <c r="F1" s="5" t="inlineStr">
        <is>
          <t>mercado</t>
        </is>
      </c>
      <c r="G1" s="5" t="inlineStr">
        <is>
          <t>kg_miles</t>
        </is>
      </c>
      <c r="H1" s="5" t="inlineStr">
        <is>
          <t>precio_kg_usd</t>
        </is>
      </c>
      <c r="I1" s="5" t="inlineStr">
        <is>
          <t>ingreso_usd</t>
        </is>
      </c>
    </row>
    <row r="2">
      <c r="A2" s="11" t="n">
        <v>2025</v>
      </c>
      <c r="B2" s="6" t="inlineStr">
        <is>
          <t>Early Crop</t>
        </is>
      </c>
      <c r="C2" s="6" t="inlineStr">
        <is>
          <t>arandano</t>
        </is>
      </c>
      <c r="D2" s="6" t="inlineStr">
        <is>
          <t>exportacion</t>
        </is>
      </c>
      <c r="E2" s="6" t="inlineStr">
        <is>
          <t>industria</t>
        </is>
      </c>
      <c r="F2" s="6" t="inlineStr">
        <is>
          <t>Europa</t>
        </is>
      </c>
      <c r="G2" s="7" t="n">
        <v>95.90000000000001</v>
      </c>
      <c r="H2" s="15" t="n">
        <v>3.55</v>
      </c>
      <c r="I2" s="19">
        <f>IF(OR(G2="",H2=""),"",G2*1000*H2)</f>
        <v/>
      </c>
    </row>
    <row r="3">
      <c r="A3" s="11" t="n">
        <v>2025</v>
      </c>
      <c r="B3" s="6" t="inlineStr">
        <is>
          <t>Early Crop</t>
        </is>
      </c>
      <c r="C3" s="6" t="inlineStr">
        <is>
          <t>arandano</t>
        </is>
      </c>
      <c r="D3" s="6" t="inlineStr">
        <is>
          <t>exportacion</t>
        </is>
      </c>
      <c r="E3" s="6" t="inlineStr">
        <is>
          <t>fresco</t>
        </is>
      </c>
      <c r="F3" s="6" t="inlineStr">
        <is>
          <t>Europa</t>
        </is>
      </c>
      <c r="G3" s="7" t="n">
        <v>1185.4</v>
      </c>
      <c r="H3" s="15" t="n">
        <v>6.730808576851695</v>
      </c>
      <c r="I3" s="19">
        <f>IF(OR(G3="",H3=""),"",G3*1000*H3)</f>
        <v/>
      </c>
    </row>
    <row r="4">
      <c r="A4" s="11" t="n">
        <v>2025</v>
      </c>
      <c r="B4" s="6" t="inlineStr">
        <is>
          <t>Early Crop</t>
        </is>
      </c>
      <c r="C4" s="6" t="inlineStr">
        <is>
          <t>arandano</t>
        </is>
      </c>
      <c r="D4" s="6" t="inlineStr">
        <is>
          <t>mercado interno</t>
        </is>
      </c>
      <c r="E4" s="6" t="inlineStr">
        <is>
          <t>fresco</t>
        </is>
      </c>
      <c r="F4" s="6" t="inlineStr">
        <is>
          <t>mercado interno</t>
        </is>
      </c>
      <c r="G4" s="7" t="n">
        <v>127.1475</v>
      </c>
      <c r="H4" s="15" t="n">
        <v>9.75</v>
      </c>
      <c r="I4" s="19">
        <f>IF(OR(G4="",H4=""),"",G4*1000*H4)</f>
        <v/>
      </c>
    </row>
    <row r="5">
      <c r="A5" s="11" t="n">
        <v>2025</v>
      </c>
      <c r="B5" s="6" t="inlineStr">
        <is>
          <t>Early Crop</t>
        </is>
      </c>
      <c r="C5" s="6" t="inlineStr">
        <is>
          <t>arandano</t>
        </is>
      </c>
      <c r="D5" s="6" t="inlineStr">
        <is>
          <t>mercado interno</t>
        </is>
      </c>
      <c r="E5" s="6" t="inlineStr">
        <is>
          <t>industria</t>
        </is>
      </c>
      <c r="F5" s="6" t="inlineStr">
        <is>
          <t>mercado interno</t>
        </is>
      </c>
      <c r="G5" s="7" t="n">
        <v>349.6</v>
      </c>
      <c r="H5" s="15" t="n">
        <v>2.75095908538824</v>
      </c>
      <c r="I5" s="19">
        <f>IF(OR(G5="",H5=""),"",G5*1000*H5)</f>
        <v/>
      </c>
    </row>
    <row r="6">
      <c r="A6" s="11" t="n">
        <v>2025</v>
      </c>
      <c r="B6" s="6" t="inlineStr">
        <is>
          <t>Early Crop</t>
        </is>
      </c>
      <c r="C6" s="6" t="inlineStr">
        <is>
          <t>limon</t>
        </is>
      </c>
      <c r="D6" s="6" t="inlineStr">
        <is>
          <t>exportacion</t>
        </is>
      </c>
      <c r="E6" s="6" t="inlineStr">
        <is>
          <t>fresco</t>
        </is>
      </c>
      <c r="F6" s="6" t="inlineStr">
        <is>
          <t>USA</t>
        </is>
      </c>
      <c r="G6" s="7" t="n">
        <v>1347.84</v>
      </c>
      <c r="H6" s="15" t="n">
        <v>1.008011900522317</v>
      </c>
      <c r="I6" s="19">
        <f>IF(OR(G6="",H6=""),"",G6*1000*H6)</f>
        <v/>
      </c>
      <c r="K6" s="20" t="n"/>
      <c r="L6" s="21" t="n"/>
    </row>
    <row r="7">
      <c r="A7" s="11" t="n">
        <v>2025</v>
      </c>
      <c r="B7" s="6" t="inlineStr">
        <is>
          <t>Early Crop</t>
        </is>
      </c>
      <c r="C7" s="6" t="inlineStr">
        <is>
          <t>limon</t>
        </is>
      </c>
      <c r="D7" s="6" t="inlineStr">
        <is>
          <t>exportacion</t>
        </is>
      </c>
      <c r="E7" s="6" t="inlineStr">
        <is>
          <t>fresco</t>
        </is>
      </c>
      <c r="F7" s="6" t="inlineStr">
        <is>
          <t>Europa UE</t>
        </is>
      </c>
      <c r="G7" s="7" t="n">
        <v>2171.772</v>
      </c>
      <c r="H7" s="15" t="n">
        <v>1.070785630351621</v>
      </c>
      <c r="I7" s="19">
        <f>IF(OR(G7="",H7=""),"",G7*1000*H7)</f>
        <v/>
      </c>
    </row>
    <row r="8">
      <c r="A8" s="11" t="n">
        <v>2025</v>
      </c>
      <c r="B8" s="6" t="inlineStr">
        <is>
          <t>Early Crop</t>
        </is>
      </c>
      <c r="C8" s="6" t="inlineStr">
        <is>
          <t>limon</t>
        </is>
      </c>
      <c r="D8" s="6" t="inlineStr">
        <is>
          <t>exportacion</t>
        </is>
      </c>
      <c r="E8" s="6" t="inlineStr">
        <is>
          <t>fresco</t>
        </is>
      </c>
      <c r="F8" s="6" t="inlineStr">
        <is>
          <t>Europa No-UE</t>
        </is>
      </c>
      <c r="G8" s="7" t="n">
        <v>2940.828</v>
      </c>
      <c r="H8" s="15" t="n">
        <v>0.8577113894454215</v>
      </c>
      <c r="I8" s="19">
        <f>IF(OR(G8="",H8=""),"",G8*1000*H8)</f>
        <v/>
      </c>
    </row>
    <row r="9">
      <c r="A9" s="11" t="n">
        <v>2025</v>
      </c>
      <c r="B9" s="6" t="inlineStr">
        <is>
          <t>Early Crop</t>
        </is>
      </c>
      <c r="C9" s="6" t="inlineStr">
        <is>
          <t>limon</t>
        </is>
      </c>
      <c r="D9" s="6" t="inlineStr">
        <is>
          <t>mercado interno</t>
        </is>
      </c>
      <c r="E9" s="6" t="inlineStr">
        <is>
          <t>industria</t>
        </is>
      </c>
      <c r="F9" s="6" t="inlineStr">
        <is>
          <t>mercado interno</t>
        </is>
      </c>
      <c r="G9" s="7" t="n">
        <v>5767.8</v>
      </c>
      <c r="H9" s="15" t="n">
        <v>0.1356</v>
      </c>
      <c r="I9" s="19">
        <f>IF(OR(G9="",H9=""),"",G9*1000*H9)</f>
        <v/>
      </c>
    </row>
    <row r="10">
      <c r="A10" s="11" t="n">
        <v>2025</v>
      </c>
      <c r="B10" s="6" t="inlineStr">
        <is>
          <t>Early Crop</t>
        </is>
      </c>
      <c r="C10" s="6" t="inlineStr">
        <is>
          <t>cana</t>
        </is>
      </c>
      <c r="D10" s="6" t="inlineStr">
        <is>
          <t>—</t>
        </is>
      </c>
      <c r="E10" s="6" t="inlineStr">
        <is>
          <t>—</t>
        </is>
      </c>
      <c r="F10" s="6" t="inlineStr">
        <is>
          <t>—</t>
        </is>
      </c>
      <c r="G10" s="7" t="n"/>
      <c r="H10" s="15" t="n"/>
      <c r="I10" s="19">
        <f>IF(OR(G10="",H10=""),"",G10*1000*H10)</f>
        <v/>
      </c>
    </row>
    <row r="11">
      <c r="A11" s="11" t="n">
        <v>2025</v>
      </c>
      <c r="B11" s="6" t="inlineStr">
        <is>
          <t>Greenpack</t>
        </is>
      </c>
      <c r="C11" s="6" t="inlineStr">
        <is>
          <t>empaque</t>
        </is>
      </c>
      <c r="D11" s="6" t="inlineStr">
        <is>
          <t>—</t>
        </is>
      </c>
      <c r="E11" s="6" t="inlineStr">
        <is>
          <t>—</t>
        </is>
      </c>
      <c r="F11" s="6" t="inlineStr">
        <is>
          <t>—</t>
        </is>
      </c>
      <c r="G11" s="7" t="n"/>
      <c r="H11" s="22" t="n"/>
      <c r="I11" s="23" t="n">
        <v>1161700</v>
      </c>
    </row>
    <row r="12">
      <c r="A12" s="11" t="n">
        <v>2026</v>
      </c>
      <c r="B12" s="6" t="inlineStr">
        <is>
          <t>Early Crop</t>
        </is>
      </c>
      <c r="C12" s="6" t="inlineStr">
        <is>
          <t>arandano</t>
        </is>
      </c>
      <c r="D12" s="6" t="inlineStr">
        <is>
          <t>exportacion</t>
        </is>
      </c>
      <c r="E12" s="6" t="inlineStr">
        <is>
          <t>industria</t>
        </is>
      </c>
      <c r="F12" s="6" t="inlineStr">
        <is>
          <t>Europa</t>
        </is>
      </c>
      <c r="G12" s="7" t="n">
        <v>135</v>
      </c>
      <c r="H12" s="15" t="n">
        <v>2.8</v>
      </c>
      <c r="I12" s="19">
        <f>IF(OR(G12="",H12=""),"",G12*1000*H12)</f>
        <v/>
      </c>
    </row>
    <row r="13">
      <c r="A13" s="11" t="n">
        <v>2026</v>
      </c>
      <c r="B13" s="6" t="inlineStr">
        <is>
          <t>Early Crop</t>
        </is>
      </c>
      <c r="C13" s="6" t="inlineStr">
        <is>
          <t>arandano</t>
        </is>
      </c>
      <c r="D13" s="6" t="inlineStr">
        <is>
          <t>exportacion</t>
        </is>
      </c>
      <c r="E13" s="6" t="inlineStr">
        <is>
          <t>fresco</t>
        </is>
      </c>
      <c r="F13" s="6" t="inlineStr">
        <is>
          <t>Europa</t>
        </is>
      </c>
      <c r="G13" s="7" t="n">
        <v>1091.6</v>
      </c>
      <c r="H13" s="15" t="n">
        <v>7.458867717112496</v>
      </c>
      <c r="I13" s="19">
        <f>IF(OR(G13="",H13=""),"",G13*1000*H13)</f>
        <v/>
      </c>
    </row>
    <row r="14">
      <c r="A14" s="11" t="n">
        <v>2026</v>
      </c>
      <c r="B14" s="6" t="inlineStr">
        <is>
          <t>Early Crop</t>
        </is>
      </c>
      <c r="C14" s="6" t="inlineStr">
        <is>
          <t>arandano</t>
        </is>
      </c>
      <c r="D14" s="6" t="inlineStr">
        <is>
          <t>mercado interno</t>
        </is>
      </c>
      <c r="E14" s="6" t="inlineStr">
        <is>
          <t>fresco</t>
        </is>
      </c>
      <c r="F14" s="6" t="inlineStr">
        <is>
          <t>mercado interno</t>
        </is>
      </c>
      <c r="G14" s="7" t="n">
        <v>171.4</v>
      </c>
      <c r="H14" s="15" t="n">
        <v>8.026837806301051</v>
      </c>
      <c r="I14" s="19">
        <f>IF(OR(G14="",H14=""),"",G14*1000*H14)</f>
        <v/>
      </c>
    </row>
    <row r="15">
      <c r="A15" s="11" t="n">
        <v>2026</v>
      </c>
      <c r="B15" s="6" t="inlineStr">
        <is>
          <t>Early Crop</t>
        </is>
      </c>
      <c r="C15" s="6" t="inlineStr">
        <is>
          <t>arandano</t>
        </is>
      </c>
      <c r="D15" s="6" t="inlineStr">
        <is>
          <t>mercado interno</t>
        </is>
      </c>
      <c r="E15" s="6" t="inlineStr">
        <is>
          <t>industria</t>
        </is>
      </c>
      <c r="F15" s="6" t="inlineStr">
        <is>
          <t>mercado interno</t>
        </is>
      </c>
      <c r="G15" s="7" t="n">
        <v>402</v>
      </c>
      <c r="H15" s="15" t="n">
        <v>2.8</v>
      </c>
      <c r="I15" s="19">
        <f>IF(OR(G15="",H15=""),"",G15*1000*H15)</f>
        <v/>
      </c>
    </row>
    <row r="16">
      <c r="A16" s="11" t="n">
        <v>2026</v>
      </c>
      <c r="B16" s="6" t="inlineStr">
        <is>
          <t>Early Crop</t>
        </is>
      </c>
      <c r="C16" s="6" t="inlineStr">
        <is>
          <t>limon</t>
        </is>
      </c>
      <c r="D16" s="6" t="inlineStr">
        <is>
          <t>exportacion</t>
        </is>
      </c>
      <c r="E16" s="6" t="inlineStr">
        <is>
          <t>fresco</t>
        </is>
      </c>
      <c r="F16" s="6" t="inlineStr">
        <is>
          <t>USA</t>
        </is>
      </c>
      <c r="G16" s="7" t="n">
        <v>3913.92</v>
      </c>
      <c r="H16" s="15" t="n">
        <v>0.97</v>
      </c>
      <c r="I16" s="19">
        <f>IF(OR(G16="",H16=""),"",G16*1000*H16)</f>
        <v/>
      </c>
    </row>
    <row r="17">
      <c r="A17" s="11" t="n">
        <v>2026</v>
      </c>
      <c r="B17" s="6" t="inlineStr">
        <is>
          <t>Early Crop</t>
        </is>
      </c>
      <c r="C17" s="6" t="inlineStr">
        <is>
          <t>limon</t>
        </is>
      </c>
      <c r="D17" s="6" t="inlineStr">
        <is>
          <t>exportacion</t>
        </is>
      </c>
      <c r="E17" s="6" t="inlineStr">
        <is>
          <t>fresco</t>
        </is>
      </c>
      <c r="F17" s="6" t="inlineStr">
        <is>
          <t>Europa UE</t>
        </is>
      </c>
      <c r="G17" s="7" t="n">
        <v>4872.96</v>
      </c>
      <c r="H17" s="15" t="n">
        <v>0.97</v>
      </c>
      <c r="I17" s="19">
        <f>IF(OR(G17="",H17=""),"",G17*1000*H17)</f>
        <v/>
      </c>
    </row>
    <row r="18">
      <c r="A18" s="11" t="n">
        <v>2026</v>
      </c>
      <c r="B18" s="6" t="inlineStr">
        <is>
          <t>Early Crop</t>
        </is>
      </c>
      <c r="C18" s="6" t="inlineStr">
        <is>
          <t>limon</t>
        </is>
      </c>
      <c r="D18" s="6" t="inlineStr">
        <is>
          <t>exportacion</t>
        </is>
      </c>
      <c r="E18" s="6" t="inlineStr">
        <is>
          <t>fresco</t>
        </is>
      </c>
      <c r="F18" s="6" t="inlineStr">
        <is>
          <t>Europa No-UE</t>
        </is>
      </c>
      <c r="G18" s="7" t="n">
        <v>4790.208</v>
      </c>
      <c r="H18" s="15" t="n">
        <v>0.97</v>
      </c>
      <c r="I18" s="19">
        <f>IF(OR(G18="",H18=""),"",G18*1000*H18)</f>
        <v/>
      </c>
    </row>
    <row r="19">
      <c r="A19" s="11" t="n">
        <v>2026</v>
      </c>
      <c r="B19" s="6" t="inlineStr">
        <is>
          <t>Early Crop</t>
        </is>
      </c>
      <c r="C19" s="6" t="inlineStr">
        <is>
          <t>limon</t>
        </is>
      </c>
      <c r="D19" s="6" t="inlineStr">
        <is>
          <t>mercado interno</t>
        </is>
      </c>
      <c r="E19" s="6" t="inlineStr">
        <is>
          <t>industria</t>
        </is>
      </c>
      <c r="F19" s="6" t="inlineStr">
        <is>
          <t>mercado interno</t>
        </is>
      </c>
      <c r="G19" s="7" t="n">
        <v>11540</v>
      </c>
      <c r="H19" s="15" t="n">
        <v>0.156</v>
      </c>
      <c r="I19" s="19">
        <f>IF(OR(G19="",H19=""),"",G19*1000*H19)</f>
        <v/>
      </c>
    </row>
    <row r="20">
      <c r="A20" s="11" t="n">
        <v>2026</v>
      </c>
      <c r="B20" s="6" t="inlineStr">
        <is>
          <t>Early Crop</t>
        </is>
      </c>
      <c r="C20" s="6" t="inlineStr">
        <is>
          <t>cana</t>
        </is>
      </c>
      <c r="D20" s="6" t="inlineStr">
        <is>
          <t>—</t>
        </is>
      </c>
      <c r="E20" s="6" t="inlineStr">
        <is>
          <t>—</t>
        </is>
      </c>
      <c r="F20" s="6" t="inlineStr">
        <is>
          <t>—</t>
        </is>
      </c>
      <c r="G20" s="7" t="n"/>
      <c r="H20" s="15" t="n"/>
      <c r="I20" s="19">
        <f>IF(OR(G20="",H20=""),"",G20*1000*H20)</f>
        <v/>
      </c>
    </row>
    <row r="21">
      <c r="A21" s="11" t="n">
        <v>2026</v>
      </c>
      <c r="B21" s="6" t="inlineStr">
        <is>
          <t>Greenpack</t>
        </is>
      </c>
      <c r="C21" s="6" t="inlineStr">
        <is>
          <t>empaque</t>
        </is>
      </c>
      <c r="D21" s="6" t="inlineStr">
        <is>
          <t>—</t>
        </is>
      </c>
      <c r="E21" s="6" t="inlineStr">
        <is>
          <t>—</t>
        </is>
      </c>
      <c r="F21" s="6" t="inlineStr">
        <is>
          <t>—</t>
        </is>
      </c>
      <c r="G21" s="7" t="n"/>
      <c r="H21" s="22" t="n"/>
      <c r="I21" s="23" t="n">
        <v>1973600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3" t="inlineStr">
        <is>
          <t>Panel Early Crop — Proyección de Ingresos Comerciales</t>
        </is>
      </c>
    </row>
    <row r="2">
      <c r="A2" s="50" t="inlineStr">
        <is>
          <t>Ingreso = (kg propios × % canal + kg terceros) × precio FOB  |  USD</t>
        </is>
      </c>
    </row>
    <row r="3">
      <c r="A3" s="51" t="inlineStr">
        <is>
          <t>🟡 Amarillo = editable      ⬜ Gris = calculado (no editar)</t>
        </is>
      </c>
    </row>
    <row r="4" ht="6" customHeight="1"/>
    <row r="5" ht="18" customHeight="1">
      <c r="A5" s="69" t="inlineStr">
        <is>
          <t>PRECIOS FOB DE REFERENCIA — calculados desde hoja Ingresos (2026)</t>
        </is>
      </c>
    </row>
    <row r="6" ht="18" customHeight="1">
      <c r="A6" s="37" t="inlineStr">
        <is>
          <t>Cultivo</t>
        </is>
      </c>
      <c r="B6" s="37" t="inlineStr">
        <is>
          <t>Canal</t>
        </is>
      </c>
      <c r="C6" s="37" t="inlineStr">
        <is>
          <t>kg totales</t>
        </is>
      </c>
      <c r="D6" s="37" t="inlineStr">
        <is>
          <t>Precio FOB (USD/kg)</t>
        </is>
      </c>
    </row>
    <row r="7" ht="18" customHeight="1">
      <c r="A7" s="74" t="inlineStr">
        <is>
          <t>Arándano</t>
        </is>
      </c>
      <c r="B7" s="75" t="inlineStr">
        <is>
          <t>Fresco</t>
        </is>
      </c>
      <c r="C7" s="76" t="n">
        <v>1263000</v>
      </c>
      <c r="D7" s="71" t="n">
        <v>7.5359</v>
      </c>
    </row>
    <row r="8" ht="18" customHeight="1">
      <c r="A8" s="74" t="inlineStr">
        <is>
          <t>Arándano</t>
        </is>
      </c>
      <c r="B8" s="75" t="inlineStr">
        <is>
          <t>Industria</t>
        </is>
      </c>
      <c r="C8" s="76" t="n">
        <v>537000</v>
      </c>
      <c r="D8" s="71" t="n">
        <v>2.8</v>
      </c>
    </row>
    <row r="9" ht="18" customHeight="1">
      <c r="A9" s="77" t="inlineStr">
        <is>
          <t>Limón</t>
        </is>
      </c>
      <c r="B9" s="78" t="inlineStr">
        <is>
          <t>Fresco</t>
        </is>
      </c>
      <c r="C9" s="76" t="n">
        <v>13577088</v>
      </c>
      <c r="D9" s="71" t="n">
        <v>0.97</v>
      </c>
    </row>
    <row r="10" ht="18" customHeight="1">
      <c r="A10" s="77" t="inlineStr">
        <is>
          <t>Limón</t>
        </is>
      </c>
      <c r="B10" s="78" t="inlineStr">
        <is>
          <t>Industria</t>
        </is>
      </c>
      <c r="C10" s="76" t="n">
        <v>11540000</v>
      </c>
      <c r="D10" s="71" t="n">
        <v>0.156</v>
      </c>
    </row>
    <row r="11" ht="8" customHeight="1"/>
    <row r="13" ht="18" customHeight="1">
      <c r="A13" s="69" t="inlineStr">
        <is>
          <t>PARÁMETROS EDITABLES Y PROYECCIÓN DE INGRESOS</t>
        </is>
      </c>
    </row>
    <row r="14" ht="18" customHeight="1">
      <c r="A14" s="37" t="inlineStr">
        <is>
          <t>Cultivo</t>
        </is>
      </c>
      <c r="B14" s="37" t="inlineStr">
        <is>
          <t>Variable</t>
        </is>
      </c>
      <c r="C14" s="37" t="inlineStr">
        <is>
          <t>2026</t>
        </is>
      </c>
      <c r="D14" s="37" t="inlineStr">
        <is>
          <t>2027</t>
        </is>
      </c>
      <c r="E14" s="37" t="inlineStr">
        <is>
          <t>2028</t>
        </is>
      </c>
      <c r="F14" s="37" t="inlineStr">
        <is>
          <t>2029</t>
        </is>
      </c>
      <c r="G14" s="37" t="inlineStr">
        <is>
          <t>2030</t>
        </is>
      </c>
      <c r="H14" s="37" t="inlineStr">
        <is>
          <t>2031</t>
        </is>
      </c>
      <c r="I14" s="37" t="inlineStr">
        <is>
          <t>2032</t>
        </is>
      </c>
      <c r="J14" s="37" t="inlineStr">
        <is>
          <t>2033</t>
        </is>
      </c>
      <c r="K14" s="37" t="inlineStr">
        <is>
          <t>2034</t>
        </is>
      </c>
      <c r="L14" s="37" t="inlineStr">
        <is>
          <t>2035</t>
        </is>
      </c>
      <c r="M14" s="37" t="inlineStr">
        <is>
          <t>2036</t>
        </is>
      </c>
    </row>
    <row r="15" ht="18" customHeight="1">
      <c r="A15" s="79" t="inlineStr">
        <is>
          <t>Arándano</t>
        </is>
      </c>
      <c r="B15" s="75" t="inlineStr">
        <is>
          <t>% fresco vs industria</t>
        </is>
      </c>
      <c r="C15" s="53" t="n">
        <v>0.7017</v>
      </c>
      <c r="D15" s="53" t="n">
        <v>0.7017</v>
      </c>
      <c r="E15" s="53" t="n">
        <v>0.7017</v>
      </c>
      <c r="F15" s="53" t="n">
        <v>0.7017</v>
      </c>
      <c r="G15" s="53" t="n">
        <v>0.7017</v>
      </c>
      <c r="H15" s="53" t="n">
        <v>0.7017</v>
      </c>
      <c r="I15" s="53" t="n">
        <v>0.7017</v>
      </c>
      <c r="J15" s="53" t="n">
        <v>0.7017</v>
      </c>
      <c r="K15" s="53" t="n">
        <v>0.7017</v>
      </c>
      <c r="L15" s="53" t="n">
        <v>0.7017</v>
      </c>
      <c r="M15" s="53" t="n">
        <v>0.7017</v>
      </c>
    </row>
    <row r="16" ht="18" customHeight="1">
      <c r="A16" s="74" t="inlineStr"/>
      <c r="B16" s="75" t="inlineStr">
        <is>
          <t>kg terceros fresco</t>
        </is>
      </c>
      <c r="C16" s="55" t="n">
        <v>0</v>
      </c>
      <c r="D16" s="55" t="n">
        <v>0</v>
      </c>
      <c r="E16" s="55" t="n">
        <v>0</v>
      </c>
      <c r="F16" s="55" t="n">
        <v>0</v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0</v>
      </c>
      <c r="M16" s="55" t="n">
        <v>0</v>
      </c>
    </row>
    <row r="17" ht="18" customHeight="1">
      <c r="A17" s="74" t="inlineStr"/>
      <c r="B17" s="75" t="inlineStr">
        <is>
          <t>kg terceros industria</t>
        </is>
      </c>
      <c r="C17" s="55" t="n">
        <v>0</v>
      </c>
      <c r="D17" s="55" t="n">
        <v>0</v>
      </c>
      <c r="E17" s="55" t="n">
        <v>0</v>
      </c>
      <c r="F17" s="55" t="n">
        <v>0</v>
      </c>
      <c r="G17" s="55" t="n">
        <v>0</v>
      </c>
      <c r="H17" s="55" t="n">
        <v>0</v>
      </c>
      <c r="I17" s="55" t="n">
        <v>0</v>
      </c>
      <c r="J17" s="55" t="n">
        <v>0</v>
      </c>
      <c r="K17" s="55" t="n">
        <v>0</v>
      </c>
      <c r="L17" s="55" t="n">
        <v>0</v>
      </c>
      <c r="M17" s="55" t="n">
        <v>0</v>
      </c>
    </row>
    <row r="18" ht="18" customHeight="1">
      <c r="A18" s="74" t="inlineStr"/>
      <c r="B18" s="75" t="inlineStr">
        <is>
          <t>precio FOB fresco (USD/kg)</t>
        </is>
      </c>
      <c r="C18" s="80">
        <f>$D$7</f>
        <v/>
      </c>
      <c r="D18" s="80">
        <f>$D$7</f>
        <v/>
      </c>
      <c r="E18" s="80">
        <f>$D$7</f>
        <v/>
      </c>
      <c r="F18" s="80">
        <f>$D$7</f>
        <v/>
      </c>
      <c r="G18" s="80">
        <f>$D$7</f>
        <v/>
      </c>
      <c r="H18" s="80">
        <f>$D$7</f>
        <v/>
      </c>
      <c r="I18" s="80">
        <f>$D$7</f>
        <v/>
      </c>
      <c r="J18" s="80">
        <f>$D$7</f>
        <v/>
      </c>
      <c r="K18" s="80">
        <f>$D$7</f>
        <v/>
      </c>
      <c r="L18" s="80">
        <f>$D$7</f>
        <v/>
      </c>
      <c r="M18" s="80">
        <f>$D$7</f>
        <v/>
      </c>
    </row>
    <row r="19" ht="18" customHeight="1">
      <c r="A19" s="74" t="inlineStr"/>
      <c r="B19" s="75" t="inlineStr">
        <is>
          <t>precio FOB industria (USD/kg)</t>
        </is>
      </c>
      <c r="C19" s="80">
        <f>$D$8</f>
        <v/>
      </c>
      <c r="D19" s="80">
        <f>$D$8</f>
        <v/>
      </c>
      <c r="E19" s="80">
        <f>$D$8</f>
        <v/>
      </c>
      <c r="F19" s="80">
        <f>$D$8</f>
        <v/>
      </c>
      <c r="G19" s="80">
        <f>$D$8</f>
        <v/>
      </c>
      <c r="H19" s="80">
        <f>$D$8</f>
        <v/>
      </c>
      <c r="I19" s="80">
        <f>$D$8</f>
        <v/>
      </c>
      <c r="J19" s="80">
        <f>$D$8</f>
        <v/>
      </c>
      <c r="K19" s="80">
        <f>$D$8</f>
        <v/>
      </c>
      <c r="L19" s="80">
        <f>$D$8</f>
        <v/>
      </c>
      <c r="M19" s="80">
        <f>$D$8</f>
        <v/>
      </c>
    </row>
    <row r="20" ht="18" customHeight="1">
      <c r="A20" s="74" t="inlineStr"/>
      <c r="B20" s="81" t="inlineStr">
        <is>
          <t>→ INGRESO TOTAL (USD)</t>
        </is>
      </c>
      <c r="C20" s="57">
        <f>(Kg_proyectados!B12*C15+C16)*C18+(Kg_proyectados!B12*(1-C15)+C17)*C19</f>
        <v/>
      </c>
      <c r="D20" s="57">
        <f>(Kg_proyectados!C12*D15+D16)*D18+(Kg_proyectados!C12*(1-D15)+D17)*D19</f>
        <v/>
      </c>
      <c r="E20" s="57">
        <f>(Kg_proyectados!D12*E15+E16)*E18+(Kg_proyectados!D12*(1-E15)+E17)*E19</f>
        <v/>
      </c>
      <c r="F20" s="57">
        <f>(Kg_proyectados!E12*F15+F16)*F18+(Kg_proyectados!E12*(1-F15)+F17)*F19</f>
        <v/>
      </c>
      <c r="G20" s="57">
        <f>(Kg_proyectados!F12*G15+G16)*G18+(Kg_proyectados!F12*(1-G15)+G17)*G19</f>
        <v/>
      </c>
      <c r="H20" s="57">
        <f>(Kg_proyectados!G12*H15+H16)*H18+(Kg_proyectados!G12*(1-H15)+H17)*H19</f>
        <v/>
      </c>
      <c r="I20" s="57">
        <f>(Kg_proyectados!H12*I15+I16)*I18+(Kg_proyectados!H12*(1-I15)+I17)*I19</f>
        <v/>
      </c>
      <c r="J20" s="57">
        <f>(Kg_proyectados!I12*J15+J16)*J18+(Kg_proyectados!I12*(1-J15)+J17)*J19</f>
        <v/>
      </c>
      <c r="K20" s="57">
        <f>(Kg_proyectados!J12*K15+K16)*K18+(Kg_proyectados!J12*(1-K15)+K17)*K19</f>
        <v/>
      </c>
      <c r="L20" s="57">
        <f>(Kg_proyectados!K12*L15+L16)*L18+(Kg_proyectados!K12*(1-L15)+L17)*L19</f>
        <v/>
      </c>
      <c r="M20" s="57">
        <f>(Kg_proyectados!L12*M15+M16)*M18+(Kg_proyectados!L12*(1-M15)+M17)*M19</f>
        <v/>
      </c>
    </row>
    <row r="21" ht="18" customHeight="1">
      <c r="A21" s="82" t="inlineStr">
        <is>
          <t>Limón</t>
        </is>
      </c>
      <c r="B21" s="78" t="inlineStr">
        <is>
          <t>% fresco vs industria</t>
        </is>
      </c>
      <c r="C21" s="53" t="n">
        <v>0.5406</v>
      </c>
      <c r="D21" s="53" t="n">
        <v>0.5406</v>
      </c>
      <c r="E21" s="53" t="n">
        <v>0.5406</v>
      </c>
      <c r="F21" s="53" t="n">
        <v>0.5406</v>
      </c>
      <c r="G21" s="53" t="n">
        <v>0.5406</v>
      </c>
      <c r="H21" s="53" t="n">
        <v>0.5406</v>
      </c>
      <c r="I21" s="53" t="n">
        <v>0.5406</v>
      </c>
      <c r="J21" s="53" t="n">
        <v>0.5406</v>
      </c>
      <c r="K21" s="53" t="n">
        <v>0.5406</v>
      </c>
      <c r="L21" s="53" t="n">
        <v>0.5406</v>
      </c>
      <c r="M21" s="53" t="n">
        <v>0.5406</v>
      </c>
    </row>
    <row r="22" ht="18" customHeight="1">
      <c r="A22" s="77" t="inlineStr"/>
      <c r="B22" s="78" t="inlineStr">
        <is>
          <t>kg terceros fresco</t>
        </is>
      </c>
      <c r="C22" s="55" t="n">
        <v>0</v>
      </c>
      <c r="D22" s="55" t="n">
        <v>0</v>
      </c>
      <c r="E22" s="55" t="n">
        <v>0</v>
      </c>
      <c r="F22" s="55" t="n">
        <v>0</v>
      </c>
      <c r="G22" s="55" t="n">
        <v>0</v>
      </c>
      <c r="H22" s="55" t="n">
        <v>0</v>
      </c>
      <c r="I22" s="55" t="n">
        <v>0</v>
      </c>
      <c r="J22" s="55" t="n">
        <v>0</v>
      </c>
      <c r="K22" s="55" t="n">
        <v>0</v>
      </c>
      <c r="L22" s="55" t="n">
        <v>0</v>
      </c>
      <c r="M22" s="55" t="n">
        <v>0</v>
      </c>
    </row>
    <row r="23" ht="18" customHeight="1">
      <c r="A23" s="77" t="inlineStr"/>
      <c r="B23" s="78" t="inlineStr">
        <is>
          <t>kg terceros industria</t>
        </is>
      </c>
      <c r="C23" s="55" t="n">
        <v>0</v>
      </c>
      <c r="D23" s="55" t="n">
        <v>0</v>
      </c>
      <c r="E23" s="55" t="n">
        <v>0</v>
      </c>
      <c r="F23" s="55" t="n">
        <v>0</v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0</v>
      </c>
      <c r="M23" s="55" t="n">
        <v>0</v>
      </c>
    </row>
    <row r="24" ht="18" customHeight="1">
      <c r="A24" s="77" t="inlineStr"/>
      <c r="B24" s="78" t="inlineStr">
        <is>
          <t>precio FOB fresco (USD/kg)</t>
        </is>
      </c>
      <c r="C24" s="80">
        <f>$D$9</f>
        <v/>
      </c>
      <c r="D24" s="80">
        <f>$D$9</f>
        <v/>
      </c>
      <c r="E24" s="80">
        <f>$D$9</f>
        <v/>
      </c>
      <c r="F24" s="80">
        <f>$D$9</f>
        <v/>
      </c>
      <c r="G24" s="80">
        <f>$D$9</f>
        <v/>
      </c>
      <c r="H24" s="80">
        <f>$D$9</f>
        <v/>
      </c>
      <c r="I24" s="80">
        <f>$D$9</f>
        <v/>
      </c>
      <c r="J24" s="80">
        <f>$D$9</f>
        <v/>
      </c>
      <c r="K24" s="80">
        <f>$D$9</f>
        <v/>
      </c>
      <c r="L24" s="80">
        <f>$D$9</f>
        <v/>
      </c>
      <c r="M24" s="80">
        <f>$D$9</f>
        <v/>
      </c>
    </row>
    <row r="25" ht="18" customHeight="1">
      <c r="A25" s="77" t="inlineStr"/>
      <c r="B25" s="78" t="inlineStr">
        <is>
          <t>precio FOB industria (USD/kg)</t>
        </is>
      </c>
      <c r="C25" s="80">
        <f>$D$10</f>
        <v/>
      </c>
      <c r="D25" s="80">
        <f>$D$10</f>
        <v/>
      </c>
      <c r="E25" s="80">
        <f>$D$10</f>
        <v/>
      </c>
      <c r="F25" s="80">
        <f>$D$10</f>
        <v/>
      </c>
      <c r="G25" s="80">
        <f>$D$10</f>
        <v/>
      </c>
      <c r="H25" s="80">
        <f>$D$10</f>
        <v/>
      </c>
      <c r="I25" s="80">
        <f>$D$10</f>
        <v/>
      </c>
      <c r="J25" s="80">
        <f>$D$10</f>
        <v/>
      </c>
      <c r="K25" s="80">
        <f>$D$10</f>
        <v/>
      </c>
      <c r="L25" s="80">
        <f>$D$10</f>
        <v/>
      </c>
      <c r="M25" s="80">
        <f>$D$10</f>
        <v/>
      </c>
    </row>
    <row r="26" ht="18" customHeight="1">
      <c r="A26" s="77" t="inlineStr"/>
      <c r="B26" s="81" t="inlineStr">
        <is>
          <t>→ INGRESO TOTAL (USD)</t>
        </is>
      </c>
      <c r="C26" s="57">
        <f>(Kg_proyectados!B19*C21+C22)*C24+(Kg_proyectados!B19*(1-C21)+C23)*C25</f>
        <v/>
      </c>
      <c r="D26" s="57">
        <f>(Kg_proyectados!C19*D21+D22)*D24+(Kg_proyectados!C19*(1-D21)+D23)*D25</f>
        <v/>
      </c>
      <c r="E26" s="57">
        <f>(Kg_proyectados!D19*E21+E22)*E24+(Kg_proyectados!D19*(1-E21)+E23)*E25</f>
        <v/>
      </c>
      <c r="F26" s="57">
        <f>(Kg_proyectados!E19*F21+F22)*F24+(Kg_proyectados!E19*(1-F21)+F23)*F25</f>
        <v/>
      </c>
      <c r="G26" s="57">
        <f>(Kg_proyectados!F19*G21+G22)*G24+(Kg_proyectados!F19*(1-G21)+G23)*G25</f>
        <v/>
      </c>
      <c r="H26" s="57">
        <f>(Kg_proyectados!G19*H21+H22)*H24+(Kg_proyectados!G19*(1-H21)+H23)*H25</f>
        <v/>
      </c>
      <c r="I26" s="57">
        <f>(Kg_proyectados!H19*I21+I22)*I24+(Kg_proyectados!H19*(1-I21)+I23)*I25</f>
        <v/>
      </c>
      <c r="J26" s="57">
        <f>(Kg_proyectados!I19*J21+J22)*J24+(Kg_proyectados!I19*(1-J21)+J23)*J25</f>
        <v/>
      </c>
      <c r="K26" s="57">
        <f>(Kg_proyectados!J19*K21+K22)*K24+(Kg_proyectados!J19*(1-K21)+K23)*K25</f>
        <v/>
      </c>
      <c r="L26" s="57">
        <f>(Kg_proyectados!K19*L21+L22)*L24+(Kg_proyectados!K19*(1-L21)+L23)*L25</f>
        <v/>
      </c>
      <c r="M26" s="57">
        <f>(Kg_proyectados!L19*M21+M22)*M24+(Kg_proyectados!L19*(1-M21)+M23)*M25</f>
        <v/>
      </c>
    </row>
    <row r="27" ht="18" customHeight="1">
      <c r="A27" s="83" t="inlineStr">
        <is>
          <t>Caña</t>
        </is>
      </c>
      <c r="B27" s="84" t="inlineStr">
        <is>
          <t>% fresco vs industria</t>
        </is>
      </c>
      <c r="C27" s="53" t="n">
        <v>0</v>
      </c>
      <c r="D27" s="53" t="n">
        <v>0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  <c r="J27" s="53" t="n">
        <v>0</v>
      </c>
      <c r="K27" s="53" t="n">
        <v>0</v>
      </c>
      <c r="L27" s="53" t="n">
        <v>0</v>
      </c>
      <c r="M27" s="53" t="n">
        <v>0</v>
      </c>
    </row>
    <row r="28" ht="18" customHeight="1">
      <c r="A28" s="85" t="inlineStr"/>
      <c r="B28" s="84" t="inlineStr">
        <is>
          <t>kg terceros fresco</t>
        </is>
      </c>
      <c r="C28" s="55" t="n">
        <v>0</v>
      </c>
      <c r="D28" s="55" t="n">
        <v>0</v>
      </c>
      <c r="E28" s="55" t="n">
        <v>0</v>
      </c>
      <c r="F28" s="55" t="n">
        <v>0</v>
      </c>
      <c r="G28" s="55" t="n">
        <v>0</v>
      </c>
      <c r="H28" s="55" t="n">
        <v>0</v>
      </c>
      <c r="I28" s="55" t="n">
        <v>0</v>
      </c>
      <c r="J28" s="55" t="n">
        <v>0</v>
      </c>
      <c r="K28" s="55" t="n">
        <v>0</v>
      </c>
      <c r="L28" s="55" t="n">
        <v>0</v>
      </c>
      <c r="M28" s="55" t="n">
        <v>0</v>
      </c>
    </row>
    <row r="29" ht="18" customHeight="1">
      <c r="A29" s="85" t="inlineStr"/>
      <c r="B29" s="84" t="inlineStr">
        <is>
          <t>kg terceros industria</t>
        </is>
      </c>
      <c r="C29" s="55" t="n">
        <v>0</v>
      </c>
      <c r="D29" s="55" t="n">
        <v>0</v>
      </c>
      <c r="E29" s="55" t="n">
        <v>0</v>
      </c>
      <c r="F29" s="55" t="n">
        <v>0</v>
      </c>
      <c r="G29" s="55" t="n">
        <v>0</v>
      </c>
      <c r="H29" s="55" t="n">
        <v>0</v>
      </c>
      <c r="I29" s="55" t="n">
        <v>0</v>
      </c>
      <c r="J29" s="55" t="n">
        <v>0</v>
      </c>
      <c r="K29" s="55" t="n">
        <v>0</v>
      </c>
      <c r="L29" s="55" t="n">
        <v>0</v>
      </c>
      <c r="M29" s="55" t="n">
        <v>0</v>
      </c>
    </row>
    <row r="30" ht="18" customHeight="1">
      <c r="A30" s="85" t="inlineStr"/>
      <c r="B30" s="84" t="inlineStr">
        <is>
          <t>precio FOB fresco (USD/kg)</t>
        </is>
      </c>
      <c r="C30" s="86" t="n">
        <v>0</v>
      </c>
      <c r="D30" s="86" t="n">
        <v>0</v>
      </c>
      <c r="E30" s="86" t="n">
        <v>0</v>
      </c>
      <c r="F30" s="86" t="n">
        <v>0</v>
      </c>
      <c r="G30" s="86" t="n">
        <v>0</v>
      </c>
      <c r="H30" s="86" t="n">
        <v>0</v>
      </c>
      <c r="I30" s="86" t="n">
        <v>0</v>
      </c>
      <c r="J30" s="86" t="n">
        <v>0</v>
      </c>
      <c r="K30" s="86" t="n">
        <v>0</v>
      </c>
      <c r="L30" s="86" t="n">
        <v>0</v>
      </c>
      <c r="M30" s="86" t="n">
        <v>0</v>
      </c>
    </row>
    <row r="31" ht="18" customHeight="1">
      <c r="A31" s="85" t="inlineStr"/>
      <c r="B31" s="84" t="inlineStr">
        <is>
          <t>precio FOB industria (USD/kg)</t>
        </is>
      </c>
      <c r="C31" s="86" t="n">
        <v>0</v>
      </c>
      <c r="D31" s="86" t="n">
        <v>0</v>
      </c>
      <c r="E31" s="86" t="n">
        <v>0</v>
      </c>
      <c r="F31" s="86" t="n">
        <v>0</v>
      </c>
      <c r="G31" s="86" t="n">
        <v>0</v>
      </c>
      <c r="H31" s="86" t="n">
        <v>0</v>
      </c>
      <c r="I31" s="86" t="n">
        <v>0</v>
      </c>
      <c r="J31" s="86" t="n">
        <v>0</v>
      </c>
      <c r="K31" s="86" t="n">
        <v>0</v>
      </c>
      <c r="L31" s="86" t="n">
        <v>0</v>
      </c>
      <c r="M31" s="86" t="n">
        <v>0</v>
      </c>
    </row>
    <row r="32" ht="18" customHeight="1">
      <c r="A32" s="85" t="inlineStr"/>
      <c r="B32" s="81" t="inlineStr">
        <is>
          <t>→ INGRESO TOTAL (USD)</t>
        </is>
      </c>
      <c r="C32" s="62" t="n">
        <v>0</v>
      </c>
      <c r="D32" s="62" t="n">
        <v>0</v>
      </c>
      <c r="E32" s="62" t="n">
        <v>0</v>
      </c>
      <c r="F32" s="62" t="n">
        <v>0</v>
      </c>
      <c r="G32" s="62" t="n">
        <v>0</v>
      </c>
      <c r="H32" s="62" t="n">
        <v>0</v>
      </c>
      <c r="I32" s="62" t="n">
        <v>0</v>
      </c>
      <c r="J32" s="62" t="n">
        <v>0</v>
      </c>
      <c r="K32" s="62" t="n">
        <v>0</v>
      </c>
      <c r="L32" s="62" t="n">
        <v>0</v>
      </c>
      <c r="M32" s="62" t="n">
        <v>0</v>
      </c>
    </row>
    <row r="33" ht="22" customHeight="1">
      <c r="A33" s="87" t="inlineStr">
        <is>
          <t>TOTAL</t>
        </is>
      </c>
      <c r="B33" s="88" t="inlineStr">
        <is>
          <t>→ INGRESO TOTAL (USD)</t>
        </is>
      </c>
      <c r="C33" s="64">
        <f>C20+C26+C32</f>
        <v/>
      </c>
      <c r="D33" s="64">
        <f>D20+D26+D32</f>
        <v/>
      </c>
      <c r="E33" s="64">
        <f>E20+E26+E32</f>
        <v/>
      </c>
      <c r="F33" s="64">
        <f>F20+F26+F32</f>
        <v/>
      </c>
      <c r="G33" s="64">
        <f>G20+G26+G32</f>
        <v/>
      </c>
      <c r="H33" s="64">
        <f>H20+H26+H32</f>
        <v/>
      </c>
      <c r="I33" s="64">
        <f>I20+I26+I32</f>
        <v/>
      </c>
      <c r="J33" s="64">
        <f>J20+J26+J32</f>
        <v/>
      </c>
      <c r="K33" s="64">
        <f>K20+K26+K32</f>
        <v/>
      </c>
      <c r="L33" s="64">
        <f>L20+L26+L32</f>
        <v/>
      </c>
      <c r="M33" s="64">
        <f>M20+M26+M32</f>
        <v/>
      </c>
    </row>
    <row r="35">
      <c r="A35" s="50" t="inlineStr">
        <is>
          <t>Kg propios → hoja Kg_proyectados  |  Precios FOB → tabla de referencia superior  |  Solo editá celdas amarillas: % fresco/industria y kg terceros.</t>
        </is>
      </c>
    </row>
  </sheetData>
  <mergeCells count="6">
    <mergeCell ref="A3:N3"/>
    <mergeCell ref="A35:N35"/>
    <mergeCell ref="A2:N2"/>
    <mergeCell ref="A5:N5"/>
    <mergeCell ref="A13:N13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35" t="inlineStr">
        <is>
          <t>Kg proyectados por campo y año — fórmulas desde Campos, Arandano_2026, Plantaciones y Curvas_rinde</t>
        </is>
      </c>
    </row>
    <row r="2">
      <c r="A2" s="36" t="inlineStr">
        <is>
          <t>Recambios: se descuentan de plantas existentes y se suman como nuevas plantaciones (misma lógica que el dashboard).</t>
        </is>
      </c>
    </row>
    <row r="4" ht="18" customHeight="1">
      <c r="A4" s="37" t="inlineStr">
        <is>
          <t>Campo</t>
        </is>
      </c>
      <c r="B4" s="37" t="inlineStr">
        <is>
          <t>2026</t>
        </is>
      </c>
      <c r="C4" s="37" t="inlineStr">
        <is>
          <t>2027</t>
        </is>
      </c>
      <c r="D4" s="37" t="inlineStr">
        <is>
          <t>2028</t>
        </is>
      </c>
      <c r="E4" s="37" t="inlineStr">
        <is>
          <t>2029</t>
        </is>
      </c>
      <c r="F4" s="37" t="inlineStr">
        <is>
          <t>2030</t>
        </is>
      </c>
      <c r="G4" s="37" t="inlineStr">
        <is>
          <t>2031</t>
        </is>
      </c>
      <c r="H4" s="37" t="inlineStr">
        <is>
          <t>2032</t>
        </is>
      </c>
      <c r="I4" s="37" t="inlineStr">
        <is>
          <t>2033</t>
        </is>
      </c>
      <c r="J4" s="37" t="inlineStr">
        <is>
          <t>2034</t>
        </is>
      </c>
      <c r="K4" s="37" t="inlineStr">
        <is>
          <t>2035</t>
        </is>
      </c>
      <c r="L4" s="37" t="inlineStr">
        <is>
          <t>2036</t>
        </is>
      </c>
    </row>
    <row r="5" ht="14" customHeight="1">
      <c r="A5" s="38" t="inlineStr">
        <is>
          <t>— ARÁNDANO —</t>
        </is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</row>
    <row r="6" ht="18" customHeight="1">
      <c r="A6" s="74" t="inlineStr">
        <is>
          <t>PDJ Sgto. Moya</t>
        </is>
      </c>
      <c r="B6" s="65">
        <f>MAX(0,Campos!$F$2)*Arandano_2026!$D$2</f>
        <v/>
      </c>
      <c r="C6" s="65">
        <f>MAX(0,Campos!$F$2)*Arandano_2026!$D$2+9*Curvas_rinde!B$2</f>
        <v/>
      </c>
      <c r="D6" s="65">
        <f>MAX(0,Campos!$F$2-(21.5))*Arandano_2026!$D$2+9*Curvas_rinde!C$2+8.5*Curvas_rinde!B$2+21.5*Curvas_rinde!B$2</f>
        <v/>
      </c>
      <c r="E6" s="65">
        <f>MAX(0,Campos!$F$2-(21.5+27))*Arandano_2026!$D$2+9*Curvas_rinde!D$2+8.5*Curvas_rinde!C$2+21.5*Curvas_rinde!C$2+27*Curvas_rinde!B$2</f>
        <v/>
      </c>
      <c r="F6" s="65">
        <f>MAX(0,Campos!$F$2-(21.5+27+29))*Arandano_2026!$D$2+9*Curvas_rinde!E$2+8.5*Curvas_rinde!D$2+21.5*Curvas_rinde!D$2+27*Curvas_rinde!C$2+29*Curvas_rinde!B$2</f>
        <v/>
      </c>
      <c r="G6" s="65">
        <f>MAX(0,Campos!$F$2-(21.5+27+29))*Arandano_2026!$D$2+9*Curvas_rinde!F$2+8.5*Curvas_rinde!E$2+21.5*Curvas_rinde!E$2+27*Curvas_rinde!D$2+29*Curvas_rinde!C$2</f>
        <v/>
      </c>
      <c r="H6" s="65">
        <f>MAX(0,Campos!$F$2-(21.5+27+29))*Arandano_2026!$D$2+9*Curvas_rinde!G$2+8.5*Curvas_rinde!F$2+21.5*Curvas_rinde!F$2+27*Curvas_rinde!E$2+29*Curvas_rinde!D$2</f>
        <v/>
      </c>
      <c r="I6" s="65">
        <f>MAX(0,Campos!$F$2-(21.5+27+29))*Arandano_2026!$D$2+9*Curvas_rinde!H$2+8.5*Curvas_rinde!G$2+21.5*Curvas_rinde!G$2+27*Curvas_rinde!F$2+29*Curvas_rinde!E$2</f>
        <v/>
      </c>
      <c r="J6" s="65">
        <f>MAX(0,Campos!$F$2-(21.5+27+29))*Arandano_2026!$D$2+9*Curvas_rinde!I$2+8.5*Curvas_rinde!H$2+21.5*Curvas_rinde!H$2+27*Curvas_rinde!G$2+29*Curvas_rinde!F$2</f>
        <v/>
      </c>
      <c r="K6" s="65">
        <f>MAX(0,Campos!$F$2-(21.5+27+29))*Arandano_2026!$D$2+9*Curvas_rinde!J$2+8.5*Curvas_rinde!I$2+21.5*Curvas_rinde!I$2+27*Curvas_rinde!H$2+29*Curvas_rinde!G$2</f>
        <v/>
      </c>
      <c r="L6" s="65">
        <f>MAX(0,Campos!$F$2-(21.5+27+29))*Arandano_2026!$D$2+9*Curvas_rinde!K$2+8.5*Curvas_rinde!J$2+21.5*Curvas_rinde!J$2+27*Curvas_rinde!I$2+29*Curvas_rinde!H$2</f>
        <v/>
      </c>
    </row>
    <row r="7" ht="18" customHeight="1">
      <c r="A7" s="74" t="inlineStr">
        <is>
          <t>La Loma</t>
        </is>
      </c>
      <c r="B7" s="65">
        <f>MAX(0,Campos!$F$3)*Arandano_2026!$D$3</f>
        <v/>
      </c>
      <c r="C7" s="65">
        <f>MAX(0,Campos!$F$3)*Arandano_2026!$D$3</f>
        <v/>
      </c>
      <c r="D7" s="65">
        <f>MAX(0,Campos!$F$3-(4))*Arandano_2026!$D$3+6*Curvas_rinde!B$2+4*Curvas_rinde!B$2</f>
        <v/>
      </c>
      <c r="E7" s="65">
        <f>MAX(0,Campos!$F$3-(4+38))*Arandano_2026!$D$3+6*Curvas_rinde!C$2+4*Curvas_rinde!C$2+38*Curvas_rinde!B$2</f>
        <v/>
      </c>
      <c r="F7" s="65">
        <f>MAX(0,Campos!$F$3-(4+38))*Arandano_2026!$D$3+6*Curvas_rinde!D$2+4*Curvas_rinde!D$2+38*Curvas_rinde!C$2</f>
        <v/>
      </c>
      <c r="G7" s="65">
        <f>MAX(0,Campos!$F$3-(4+38))*Arandano_2026!$D$3+6*Curvas_rinde!E$2+4*Curvas_rinde!E$2+38*Curvas_rinde!D$2</f>
        <v/>
      </c>
      <c r="H7" s="65">
        <f>MAX(0,Campos!$F$3-(4+38))*Arandano_2026!$D$3+6*Curvas_rinde!F$2+4*Curvas_rinde!F$2+38*Curvas_rinde!E$2</f>
        <v/>
      </c>
      <c r="I7" s="65">
        <f>MAX(0,Campos!$F$3-(4+38))*Arandano_2026!$D$3+6*Curvas_rinde!G$2+4*Curvas_rinde!G$2+38*Curvas_rinde!F$2</f>
        <v/>
      </c>
      <c r="J7" s="65">
        <f>MAX(0,Campos!$F$3-(4+38))*Arandano_2026!$D$3+6*Curvas_rinde!H$2+4*Curvas_rinde!H$2+38*Curvas_rinde!G$2</f>
        <v/>
      </c>
      <c r="K7" s="65">
        <f>MAX(0,Campos!$F$3-(4+38))*Arandano_2026!$D$3+6*Curvas_rinde!I$2+4*Curvas_rinde!I$2+38*Curvas_rinde!H$2</f>
        <v/>
      </c>
      <c r="L7" s="65">
        <f>MAX(0,Campos!$F$3-(4+38))*Arandano_2026!$D$3+6*Curvas_rinde!J$2+4*Curvas_rinde!J$2+38*Curvas_rinde!I$2</f>
        <v/>
      </c>
    </row>
    <row r="8" ht="18" customHeight="1">
      <c r="A8" s="74" t="inlineStr">
        <is>
          <t>La Angostura</t>
        </is>
      </c>
      <c r="B8" s="65">
        <f>MAX(0,Campos!$F$4)*Arandano_2026!$D$4</f>
        <v/>
      </c>
      <c r="C8" s="65">
        <f>MAX(0,Campos!$F$4)*Arandano_2026!$D$4</f>
        <v/>
      </c>
      <c r="D8" s="65">
        <f>MAX(0,Campos!$F$4)*Arandano_2026!$D$4</f>
        <v/>
      </c>
      <c r="E8" s="65">
        <f>MAX(0,Campos!$F$4)*Arandano_2026!$D$4</f>
        <v/>
      </c>
      <c r="F8" s="65">
        <f>MAX(0,Campos!$F$4-(21.8))*Arandano_2026!$D$4+0.2*Curvas_rinde!B$2+21.8*Curvas_rinde!B$2</f>
        <v/>
      </c>
      <c r="G8" s="65">
        <f>MAX(0,Campos!$F$4-(21.8))*Arandano_2026!$D$4+0.2*Curvas_rinde!C$2+21.8*Curvas_rinde!C$2</f>
        <v/>
      </c>
      <c r="H8" s="65">
        <f>MAX(0,Campos!$F$4-(21.8))*Arandano_2026!$D$4+0.2*Curvas_rinde!D$2+21.8*Curvas_rinde!D$2</f>
        <v/>
      </c>
      <c r="I8" s="65">
        <f>MAX(0,Campos!$F$4-(21.8))*Arandano_2026!$D$4+0.2*Curvas_rinde!E$2+21.8*Curvas_rinde!E$2</f>
        <v/>
      </c>
      <c r="J8" s="65">
        <f>MAX(0,Campos!$F$4-(21.8))*Arandano_2026!$D$4+0.2*Curvas_rinde!F$2+21.8*Curvas_rinde!F$2</f>
        <v/>
      </c>
      <c r="K8" s="65">
        <f>MAX(0,Campos!$F$4-(21.8))*Arandano_2026!$D$4+0.2*Curvas_rinde!G$2+21.8*Curvas_rinde!G$2</f>
        <v/>
      </c>
      <c r="L8" s="65">
        <f>MAX(0,Campos!$F$4-(21.8))*Arandano_2026!$D$4+0.2*Curvas_rinde!H$2+21.8*Curvas_rinde!H$2</f>
        <v/>
      </c>
    </row>
    <row r="9" ht="18" customHeight="1">
      <c r="A9" s="74" t="inlineStr">
        <is>
          <t>El Molino</t>
        </is>
      </c>
      <c r="B9" s="65">
        <f>MAX(0,Campos!$F$5)*Arandano_2026!$D$5+16*Curvas_rinde!B$2</f>
        <v/>
      </c>
      <c r="C9" s="65">
        <f>MAX(0,Campos!$F$5)*Arandano_2026!$D$5+16*Curvas_rinde!C$2</f>
        <v/>
      </c>
      <c r="D9" s="65">
        <f>MAX(0,Campos!$F$5)*Arandano_2026!$D$5+16*Curvas_rinde!D$2</f>
        <v/>
      </c>
      <c r="E9" s="65">
        <f>MAX(0,Campos!$F$5)*Arandano_2026!$D$5+16*Curvas_rinde!E$2</f>
        <v/>
      </c>
      <c r="F9" s="65">
        <f>MAX(0,Campos!$F$5)*Arandano_2026!$D$5+16*Curvas_rinde!F$2</f>
        <v/>
      </c>
      <c r="G9" s="65">
        <f>MAX(0,Campos!$F$5)*Arandano_2026!$D$5+16*Curvas_rinde!G$2</f>
        <v/>
      </c>
      <c r="H9" s="65">
        <f>MAX(0,Campos!$F$5)*Arandano_2026!$D$5+16*Curvas_rinde!H$2</f>
        <v/>
      </c>
      <c r="I9" s="65">
        <f>MAX(0,Campos!$F$5)*Arandano_2026!$D$5+16*Curvas_rinde!I$2</f>
        <v/>
      </c>
      <c r="J9" s="65">
        <f>MAX(0,Campos!$F$5)*Arandano_2026!$D$5+16*Curvas_rinde!J$2</f>
        <v/>
      </c>
      <c r="K9" s="65">
        <f>MAX(0,Campos!$F$5)*Arandano_2026!$D$5+16*Curvas_rinde!K$2</f>
        <v/>
      </c>
      <c r="L9" s="65">
        <f>MAX(0,Campos!$F$5)*Arandano_2026!$D$5+16*Curvas_rinde!L$2</f>
        <v/>
      </c>
    </row>
    <row r="10" ht="18" customHeight="1">
      <c r="A10" s="74" t="inlineStr">
        <is>
          <t>Palma Sola</t>
        </is>
      </c>
      <c r="B10" s="65">
        <f>MAX(0,Campos!$F$6)*Arandano_2026!$D$6</f>
        <v/>
      </c>
      <c r="C10" s="65">
        <f>MAX(0,Campos!$F$6)*Arandano_2026!$D$6</f>
        <v/>
      </c>
      <c r="D10" s="65">
        <f>MAX(0,Campos!$F$6)*Arandano_2026!$D$6</f>
        <v/>
      </c>
      <c r="E10" s="65">
        <f>MAX(0,Campos!$F$6)*Arandano_2026!$D$6</f>
        <v/>
      </c>
      <c r="F10" s="65">
        <f>MAX(0,Campos!$F$6)*Arandano_2026!$D$6</f>
        <v/>
      </c>
      <c r="G10" s="65">
        <f>MAX(0,Campos!$F$6)*Arandano_2026!$D$6</f>
        <v/>
      </c>
      <c r="H10" s="65">
        <f>MAX(0,Campos!$F$6)*Arandano_2026!$D$6</f>
        <v/>
      </c>
      <c r="I10" s="65">
        <f>MAX(0,Campos!$F$6)*Arandano_2026!$D$6</f>
        <v/>
      </c>
      <c r="J10" s="65">
        <f>MAX(0,Campos!$F$6)*Arandano_2026!$D$6</f>
        <v/>
      </c>
      <c r="K10" s="65">
        <f>MAX(0,Campos!$F$6)*Arandano_2026!$D$6</f>
        <v/>
      </c>
      <c r="L10" s="65">
        <f>MAX(0,Campos!$F$6)*Arandano_2026!$D$6</f>
        <v/>
      </c>
    </row>
    <row r="11" ht="18" customHeight="1">
      <c r="A11" s="74" t="inlineStr">
        <is>
          <t>Orlando</t>
        </is>
      </c>
      <c r="B11" s="65">
        <f>MAX(0,Campos!$F$7)*0</f>
        <v/>
      </c>
      <c r="C11" s="65">
        <f>MAX(0,Campos!$F$7)*0+40*Curvas_rinde!B$2</f>
        <v/>
      </c>
      <c r="D11" s="65">
        <f>MAX(0,Campos!$F$7)*0+40*Curvas_rinde!C$2+30*Curvas_rinde!B$2</f>
        <v/>
      </c>
      <c r="E11" s="65">
        <f>MAX(0,Campos!$F$7)*0+40*Curvas_rinde!D$2+30*Curvas_rinde!C$2</f>
        <v/>
      </c>
      <c r="F11" s="65">
        <f>MAX(0,Campos!$F$7)*0+40*Curvas_rinde!E$2+30*Curvas_rinde!D$2</f>
        <v/>
      </c>
      <c r="G11" s="65">
        <f>MAX(0,Campos!$F$7)*0+40*Curvas_rinde!F$2+30*Curvas_rinde!E$2</f>
        <v/>
      </c>
      <c r="H11" s="65">
        <f>MAX(0,Campos!$F$7)*0+40*Curvas_rinde!G$2+30*Curvas_rinde!F$2</f>
        <v/>
      </c>
      <c r="I11" s="65">
        <f>MAX(0,Campos!$F$7)*0+40*Curvas_rinde!H$2+30*Curvas_rinde!G$2</f>
        <v/>
      </c>
      <c r="J11" s="65">
        <f>MAX(0,Campos!$F$7)*0+40*Curvas_rinde!I$2+30*Curvas_rinde!H$2</f>
        <v/>
      </c>
      <c r="K11" s="65">
        <f>MAX(0,Campos!$F$7)*0+40*Curvas_rinde!J$2+30*Curvas_rinde!I$2</f>
        <v/>
      </c>
      <c r="L11" s="65">
        <f>MAX(0,Campos!$F$7)*0+40*Curvas_rinde!K$2+30*Curvas_rinde!J$2</f>
        <v/>
      </c>
    </row>
    <row r="12" ht="18" customHeight="1">
      <c r="A12" s="66" t="inlineStr">
        <is>
          <t>Total Arándano</t>
        </is>
      </c>
      <c r="B12" s="43">
        <f>SUM(B6,B7,B8,B9,B10,B11)</f>
        <v/>
      </c>
      <c r="C12" s="43">
        <f>SUM(C6,C7,C8,C9,C10,C11)</f>
        <v/>
      </c>
      <c r="D12" s="43">
        <f>SUM(D6,D7,D8,D9,D10,D11)</f>
        <v/>
      </c>
      <c r="E12" s="43">
        <f>SUM(E6,E7,E8,E9,E10,E11)</f>
        <v/>
      </c>
      <c r="F12" s="43">
        <f>SUM(F6,F7,F8,F9,F10,F11)</f>
        <v/>
      </c>
      <c r="G12" s="43">
        <f>SUM(G6,G7,G8,G9,G10,G11)</f>
        <v/>
      </c>
      <c r="H12" s="43">
        <f>SUM(H6,H7,H8,H9,H10,H11)</f>
        <v/>
      </c>
      <c r="I12" s="43">
        <f>SUM(I6,I7,I8,I9,I10,I11)</f>
        <v/>
      </c>
      <c r="J12" s="43">
        <f>SUM(J6,J7,J8,J9,J10,J11)</f>
        <v/>
      </c>
      <c r="K12" s="43">
        <f>SUM(K6,K7,K8,K9,K10,K11)</f>
        <v/>
      </c>
      <c r="L12" s="43">
        <f>SUM(L6,L7,L8,L9,L10,L11)</f>
        <v/>
      </c>
    </row>
    <row r="14" ht="14" customHeight="1">
      <c r="A14" s="44" t="inlineStr">
        <is>
          <t>— LIMÓN —</t>
        </is>
      </c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18" customHeight="1">
      <c r="A15" s="77" t="inlineStr">
        <is>
          <t>Yaquilo</t>
        </is>
      </c>
      <c r="B15" s="67">
        <f>Campos!$F$8*Limon_2026!$D$2</f>
        <v/>
      </c>
      <c r="C15" s="67">
        <f>Campos!$F$8*Limon_2026!$D$2</f>
        <v/>
      </c>
      <c r="D15" s="67">
        <f>Campos!$F$8*Limon_2026!$D$2</f>
        <v/>
      </c>
      <c r="E15" s="67">
        <f>Campos!$F$8*Limon_2026!$D$2</f>
        <v/>
      </c>
      <c r="F15" s="67">
        <f>Campos!$F$8*Limon_2026!$D$2</f>
        <v/>
      </c>
      <c r="G15" s="67">
        <f>Campos!$F$8*Limon_2026!$D$2</f>
        <v/>
      </c>
      <c r="H15" s="67">
        <f>Campos!$F$8*Limon_2026!$D$2</f>
        <v/>
      </c>
      <c r="I15" s="67">
        <f>Campos!$F$8*Limon_2026!$D$2</f>
        <v/>
      </c>
      <c r="J15" s="67">
        <f>Campos!$F$8*Limon_2026!$D$2</f>
        <v/>
      </c>
      <c r="K15" s="67">
        <f>Campos!$F$8*Limon_2026!$D$2</f>
        <v/>
      </c>
      <c r="L15" s="67">
        <f>Campos!$F$8*Limon_2026!$D$2</f>
        <v/>
      </c>
    </row>
    <row r="16" ht="18" customHeight="1">
      <c r="A16" s="77" t="inlineStr">
        <is>
          <t>Casanova</t>
        </is>
      </c>
      <c r="B16" s="67">
        <f>Campos!$F$9*Limon_2026!$D$3</f>
        <v/>
      </c>
      <c r="C16" s="67">
        <f>Campos!$F$9*Limon_2026!$D$3</f>
        <v/>
      </c>
      <c r="D16" s="67">
        <f>Campos!$F$9*Limon_2026!$D$3</f>
        <v/>
      </c>
      <c r="E16" s="67">
        <f>Campos!$F$9*Limon_2026!$D$3</f>
        <v/>
      </c>
      <c r="F16" s="67">
        <f>Campos!$F$9*Limon_2026!$D$3</f>
        <v/>
      </c>
      <c r="G16" s="67">
        <f>Campos!$F$9*Limon_2026!$D$3</f>
        <v/>
      </c>
      <c r="H16" s="67">
        <f>Campos!$F$9*Limon_2026!$D$3</f>
        <v/>
      </c>
      <c r="I16" s="67">
        <f>Campos!$F$9*Limon_2026!$D$3</f>
        <v/>
      </c>
      <c r="J16" s="67">
        <f>Campos!$F$9*Limon_2026!$D$3</f>
        <v/>
      </c>
      <c r="K16" s="67">
        <f>Campos!$F$9*Limon_2026!$D$3</f>
        <v/>
      </c>
      <c r="L16" s="67">
        <f>Campos!$F$9*Limon_2026!$D$3</f>
        <v/>
      </c>
    </row>
    <row r="17" ht="18" customHeight="1">
      <c r="A17" s="77" t="inlineStr">
        <is>
          <t>Tajamar</t>
        </is>
      </c>
      <c r="B17" s="67">
        <f>Campos!$F$10*Limon_2026!$D$4</f>
        <v/>
      </c>
      <c r="C17" s="67">
        <f>Campos!$F$10*Limon_2026!$D$4</f>
        <v/>
      </c>
      <c r="D17" s="67">
        <f>Campos!$F$10*Limon_2026!$D$4</f>
        <v/>
      </c>
      <c r="E17" s="67">
        <f>Campos!$F$10*Limon_2026!$D$4</f>
        <v/>
      </c>
      <c r="F17" s="67">
        <f>Campos!$F$10*Limon_2026!$D$4</f>
        <v/>
      </c>
      <c r="G17" s="67">
        <f>Campos!$F$10*Limon_2026!$D$4</f>
        <v/>
      </c>
      <c r="H17" s="67">
        <f>Campos!$F$10*Limon_2026!$D$4</f>
        <v/>
      </c>
      <c r="I17" s="67">
        <f>Campos!$F$10*Limon_2026!$D$4</f>
        <v/>
      </c>
      <c r="J17" s="67">
        <f>Campos!$F$10*Limon_2026!$D$4</f>
        <v/>
      </c>
      <c r="K17" s="67">
        <f>Campos!$F$10*Limon_2026!$D$4</f>
        <v/>
      </c>
      <c r="L17" s="67">
        <f>Campos!$F$10*Limon_2026!$D$4</f>
        <v/>
      </c>
    </row>
    <row r="18" ht="18" customHeight="1">
      <c r="A18" s="77" t="inlineStr">
        <is>
          <t>Monte Grande</t>
        </is>
      </c>
      <c r="B18" s="67">
        <f>Campos!$F$11*Limon_2026!$D$5</f>
        <v/>
      </c>
      <c r="C18" s="67">
        <f>Campos!$F$11*Limon_2026!$D$5</f>
        <v/>
      </c>
      <c r="D18" s="67">
        <f>Campos!$F$11*Limon_2026!$D$5</f>
        <v/>
      </c>
      <c r="E18" s="67">
        <f>Campos!$F$11*Limon_2026!$D$5</f>
        <v/>
      </c>
      <c r="F18" s="67">
        <f>Campos!$F$11*Limon_2026!$D$5</f>
        <v/>
      </c>
      <c r="G18" s="67">
        <f>Campos!$F$11*Limon_2026!$D$5</f>
        <v/>
      </c>
      <c r="H18" s="67">
        <f>Campos!$F$11*Limon_2026!$D$5</f>
        <v/>
      </c>
      <c r="I18" s="67">
        <f>Campos!$F$11*Limon_2026!$D$5</f>
        <v/>
      </c>
      <c r="J18" s="67">
        <f>Campos!$F$11*Limon_2026!$D$5</f>
        <v/>
      </c>
      <c r="K18" s="67">
        <f>Campos!$F$11*Limon_2026!$D$5</f>
        <v/>
      </c>
      <c r="L18" s="67">
        <f>Campos!$F$11*Limon_2026!$D$5</f>
        <v/>
      </c>
    </row>
    <row r="19" ht="18" customHeight="1">
      <c r="A19" s="68" t="inlineStr">
        <is>
          <t>Total Limón</t>
        </is>
      </c>
      <c r="B19" s="49">
        <f>SUM(B15,B16,B17,B18)</f>
        <v/>
      </c>
      <c r="C19" s="49">
        <f>SUM(C15,C16,C17,C18)</f>
        <v/>
      </c>
      <c r="D19" s="49">
        <f>SUM(D15,D16,D17,D18)</f>
        <v/>
      </c>
      <c r="E19" s="49">
        <f>SUM(E15,E16,E17,E18)</f>
        <v/>
      </c>
      <c r="F19" s="49">
        <f>SUM(F15,F16,F17,F18)</f>
        <v/>
      </c>
      <c r="G19" s="49">
        <f>SUM(G15,G16,G17,G18)</f>
        <v/>
      </c>
      <c r="H19" s="49">
        <f>SUM(H15,H16,H17,H18)</f>
        <v/>
      </c>
      <c r="I19" s="49">
        <f>SUM(I15,I16,I17,I18)</f>
        <v/>
      </c>
      <c r="J19" s="49">
        <f>SUM(J15,J16,J17,J18)</f>
        <v/>
      </c>
      <c r="K19" s="49">
        <f>SUM(K15,K16,K17,K18)</f>
        <v/>
      </c>
      <c r="L19" s="49">
        <f>SUM(L15,L16,L17,L18)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2026-04-29T11:35:52Z</dcterms:created>
  <dcterms:modified xmlns:dcterms="http://purl.org/dc/terms/" xmlns:xsi="http://www.w3.org/2001/XMLSchema-instance" xsi:type="dcterms:W3CDTF">2026-04-29T12:19:56Z</dcterms:modified>
</cp:coreProperties>
</file>