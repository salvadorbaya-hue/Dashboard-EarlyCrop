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496" tabRatio="5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gresos" sheetId="2" state="visible" r:id="rId2"/>
    <sheet xmlns:r="http://schemas.openxmlformats.org/officeDocument/2006/relationships" name="Proyeccion" sheetId="3" state="visible" r:id="rId3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3">
    <numFmt numFmtId="164" formatCode="\$#,##0.000"/>
    <numFmt numFmtId="165" formatCode="\$#,##0"/>
    <numFmt numFmtId="166" formatCode="#,##0.0"/>
  </numFmts>
  <fonts count="13">
    <font>
      <name val="Calibri"/>
      <charset val="1"/>
      <family val="2"/>
      <color theme="1"/>
      <sz val="11"/>
    </font>
    <font>
      <name val="Calibri"/>
      <charset val="1"/>
      <b val="1"/>
      <color rgb="FF1F3A66"/>
      <sz val="16"/>
    </font>
    <font>
      <name val="Calibri"/>
      <charset val="1"/>
      <color rgb="FF333333"/>
      <sz val="11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Calibri"/>
      <b val="1"/>
      <sz val="13"/>
    </font>
    <font>
      <name val="Calibri"/>
      <color rgb="008A918F"/>
      <sz val="9"/>
    </font>
    <font>
      <name val="Calibri"/>
      <i val="1"/>
      <color rgb="00C14A3E"/>
      <sz val="9"/>
    </font>
    <font>
      <name val="Calibri"/>
      <b val="1"/>
      <color rgb="00FFFFFF"/>
      <sz val="10"/>
    </font>
    <font>
      <name val="Calibri"/>
      <color rgb="000E1514"/>
      <sz val="10"/>
    </font>
    <font>
      <name val="Calibri"/>
      <i val="1"/>
      <color rgb="001D5C1E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001D7A7C"/>
      </patternFill>
    </fill>
    <fill>
      <patternFill patternType="solid">
        <fgColor rgb="00F7F7F4"/>
      </patternFill>
    </fill>
    <fill>
      <patternFill patternType="solid">
        <fgColor rgb="00E8F5E9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0" fillId="0" borderId="0" pivotButton="0" quotePrefix="0" xfId="0"/>
    <xf numFmtId="165" fontId="0" fillId="0" borderId="0" pivotButton="0" quotePrefix="0" xfId="0"/>
    <xf numFmtId="0" fontId="1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2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3" fontId="11" fillId="5" borderId="2" applyAlignment="1" pivotButton="0" quotePrefix="0" xfId="0">
      <alignment horizontal="right"/>
    </xf>
    <xf numFmtId="3" fontId="12" fillId="4" borderId="2" applyAlignment="1" pivotButton="0" quotePrefix="0" xfId="0">
      <alignment horizontal="right"/>
    </xf>
    <xf numFmtId="0" fontId="10" fillId="6" borderId="2" applyAlignment="1" pivotButton="0" quotePrefix="0" xfId="0">
      <alignment horizontal="left" vertical="center"/>
    </xf>
    <xf numFmtId="3" fontId="12" fillId="6" borderId="2" applyAlignment="1" pivotButton="0" quotePrefix="0" xfId="0">
      <alignment horizontal="right"/>
    </xf>
    <xf numFmtId="0" fontId="9" fillId="3" borderId="2" applyAlignment="1" pivotButton="0" quotePrefix="0" xfId="0">
      <alignment horizontal="left" vertical="center"/>
    </xf>
    <xf numFmtId="3" fontId="9" fillId="3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Normal="100" workbookViewId="0">
      <selection activeCell="A1" sqref="A1"/>
    </sheetView>
  </sheetViews>
  <sheetFormatPr baseColWidth="10" defaultColWidth="8.6640625" defaultRowHeight="14.4"/>
  <cols>
    <col width="90" customWidth="1" min="1" max="1"/>
  </cols>
  <sheetData>
    <row r="1" ht="21" customHeight="1">
      <c r="A1" s="1" t="inlineStr">
        <is>
          <t>Panel Early Crop — Comercial</t>
        </is>
      </c>
    </row>
    <row r="2">
      <c r="A2" s="2" t="n"/>
    </row>
    <row r="3">
      <c r="A3" s="2" t="inlineStr">
        <is>
          <t>Este archivo contiene los datos de comercialización del grupo Early Crop.</t>
        </is>
      </c>
    </row>
    <row r="4">
      <c r="A4" s="2" t="n"/>
    </row>
    <row r="5">
      <c r="A5" s="2" t="inlineStr">
        <is>
          <t>Hojas:</t>
        </is>
      </c>
    </row>
    <row r="6">
      <c r="A6" s="2" t="inlineStr">
        <is>
          <t xml:space="preserve">  • Ingresos — Una fila por combinación de año, entidad, cultivo, canal, tipo y mercado.</t>
        </is>
      </c>
    </row>
    <row r="7">
      <c r="A7" s="2" t="n"/>
    </row>
    <row r="8">
      <c r="A8" s="2" t="inlineStr">
        <is>
          <t>Cómo cargar:</t>
        </is>
      </c>
    </row>
    <row r="9">
      <c r="A9" s="2" t="inlineStr">
        <is>
          <t xml:space="preserve">  1. Cargar año, entidad, cultivo, canal, tipo, mercado, kg_miles y precio_kg_usd.</t>
        </is>
      </c>
    </row>
    <row r="10">
      <c r="A10" s="2" t="inlineStr">
        <is>
          <t xml:space="preserve">  2. La columna ingreso_usd se calcula automáticamente (kg × 1.000 × precio).</t>
        </is>
      </c>
    </row>
    <row r="11">
      <c r="A11" s="2" t="inlineStr">
        <is>
          <t xml:space="preserve">  3. Para empaque y caña no aplica tipo ni mercado: dejar vacíos o usar "—".</t>
        </is>
      </c>
    </row>
    <row r="12">
      <c r="A12" s="2" t="n"/>
    </row>
    <row r="13">
      <c r="A13" s="2" t="inlineStr">
        <is>
          <t>Convenciones:</t>
        </is>
      </c>
    </row>
    <row r="14">
      <c r="A14" s="2" t="inlineStr">
        <is>
          <t xml:space="preserve">  • Valores monetarios en USD.</t>
        </is>
      </c>
    </row>
    <row r="15">
      <c r="A15" s="2" t="inlineStr">
        <is>
          <t xml:space="preserve">  • kg_miles en miles de kg (ej. 850 = 850.000 kg).</t>
        </is>
      </c>
    </row>
    <row r="16">
      <c r="A16" s="2" t="inlineStr">
        <is>
          <t xml:space="preserve">  • precio_kg_usd en USD por kg (ej. 5.80).</t>
        </is>
      </c>
    </row>
    <row r="17">
      <c r="A17" s="2" t="inlineStr">
        <is>
          <t xml:space="preserve">  • Celdas en azul son inputs (cargar manualmente).</t>
        </is>
      </c>
    </row>
    <row r="18">
      <c r="A18" s="2" t="inlineStr">
        <is>
          <t xml:space="preserve">  • Celdas en negro son fórmulas (calculadas).</t>
        </is>
      </c>
    </row>
    <row r="19">
      <c r="A19" s="2" t="n"/>
    </row>
    <row r="20">
      <c r="A20" s="2" t="inlineStr">
        <is>
          <t>Cómo agregar un año nuevo:</t>
        </is>
      </c>
    </row>
    <row r="21">
      <c r="A21" s="2" t="inlineStr">
        <is>
          <t xml:space="preserve">  Simplemente agregar filas con el año correspondiente. El panel detecta los años automáticamente.</t>
        </is>
      </c>
    </row>
    <row r="22">
      <c r="A22" s="2" t="n"/>
    </row>
    <row r="23">
      <c r="A23" s="2" t="inlineStr">
        <is>
          <t>Validaciones activas:</t>
        </is>
      </c>
    </row>
    <row r="24">
      <c r="A24" s="2" t="inlineStr">
        <is>
          <t xml:space="preserve">  • entidad: Early Crop / Greenpack</t>
        </is>
      </c>
    </row>
    <row r="25">
      <c r="A25" s="2" t="inlineStr">
        <is>
          <t xml:space="preserve">  • cultivo: arandano / limon / cana / empaque</t>
        </is>
      </c>
    </row>
    <row r="26">
      <c r="A26" s="2" t="inlineStr">
        <is>
          <t xml:space="preserve">  • canal: exportacion / mercado interno / —</t>
        </is>
      </c>
    </row>
    <row r="27">
      <c r="A27" s="2" t="inlineStr">
        <is>
          <t xml:space="preserve">  • tipo: fresco / industria / —</t>
        </is>
      </c>
    </row>
    <row r="28">
      <c r="A28" s="2" t="inlineStr">
        <is>
          <t xml:space="preserve">  • mercado: USA / Rusia / Europa UE / Europa No-UE / mercado interno / —</t>
        </is>
      </c>
    </row>
    <row r="30">
      <c r="A30" s="13" t="inlineStr">
        <is>
          <t xml:space="preserve">  • Proyeccion — Ingresos proyectados por cultivo 2026–2036. Base real 2026 + tasas editables.</t>
        </is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tabSelected="1" zoomScaleNormal="100" workbookViewId="0">
      <pane ySplit="1" topLeftCell="A2" activePane="bottomLeft" state="frozen"/>
      <selection pane="bottomLeft" activeCell="I22" sqref="I22"/>
    </sheetView>
  </sheetViews>
  <sheetFormatPr baseColWidth="10" defaultColWidth="8.6640625" defaultRowHeight="14.4"/>
  <cols>
    <col width="8" customWidth="1" min="1" max="1"/>
    <col width="13" customWidth="1" min="2" max="2"/>
    <col width="11" customWidth="1" min="3" max="3"/>
    <col width="16" customWidth="1" min="4" max="4"/>
    <col width="11" customWidth="1" min="5" max="5"/>
    <col width="17" customWidth="1" min="6" max="6"/>
    <col width="11" customWidth="1" min="7" max="7"/>
    <col width="14" customWidth="1" min="8" max="9"/>
    <col width="10.109375" bestFit="1" customWidth="1" min="11" max="11"/>
  </cols>
  <sheetData>
    <row r="1">
      <c r="A1" s="3" t="inlineStr">
        <is>
          <t>año</t>
        </is>
      </c>
      <c r="B1" s="3" t="inlineStr">
        <is>
          <t>entidad</t>
        </is>
      </c>
      <c r="C1" s="3" t="inlineStr">
        <is>
          <t>cultivo</t>
        </is>
      </c>
      <c r="D1" s="3" t="inlineStr">
        <is>
          <t>canal</t>
        </is>
      </c>
      <c r="E1" s="3" t="inlineStr">
        <is>
          <t>tipo</t>
        </is>
      </c>
      <c r="F1" s="3" t="inlineStr">
        <is>
          <t>mercado</t>
        </is>
      </c>
      <c r="G1" s="3" t="inlineStr">
        <is>
          <t>kg_miles</t>
        </is>
      </c>
      <c r="H1" s="3" t="inlineStr">
        <is>
          <t>precio_kg_usd</t>
        </is>
      </c>
      <c r="I1" s="3" t="inlineStr">
        <is>
          <t>ingreso_usd</t>
        </is>
      </c>
    </row>
    <row r="2">
      <c r="A2" s="4" t="n">
        <v>2025</v>
      </c>
      <c r="B2" s="5" t="inlineStr">
        <is>
          <t>Early Crop</t>
        </is>
      </c>
      <c r="C2" s="5" t="inlineStr">
        <is>
          <t>arandano</t>
        </is>
      </c>
      <c r="D2" s="5" t="inlineStr">
        <is>
          <t>exportacion</t>
        </is>
      </c>
      <c r="E2" s="5" t="inlineStr">
        <is>
          <t>industria</t>
        </is>
      </c>
      <c r="F2" s="5" t="inlineStr">
        <is>
          <t>Europa</t>
        </is>
      </c>
      <c r="G2" s="10" t="n">
        <v>95.90000000000001</v>
      </c>
      <c r="H2" s="6" t="n">
        <v>3.55</v>
      </c>
      <c r="I2" s="7">
        <f>IF(OR(G2="",H2=""),"",G2*1000*H2)</f>
        <v/>
      </c>
    </row>
    <row r="3">
      <c r="A3" s="4" t="n">
        <v>2025</v>
      </c>
      <c r="B3" s="5" t="inlineStr">
        <is>
          <t>Early Crop</t>
        </is>
      </c>
      <c r="C3" s="5" t="inlineStr">
        <is>
          <t>arandano</t>
        </is>
      </c>
      <c r="D3" s="5" t="inlineStr">
        <is>
          <t>exportacion</t>
        </is>
      </c>
      <c r="E3" s="5" t="inlineStr">
        <is>
          <t>fresco</t>
        </is>
      </c>
      <c r="F3" s="5" t="inlineStr">
        <is>
          <t>Europa</t>
        </is>
      </c>
      <c r="G3" s="10" t="n">
        <v>1185.4</v>
      </c>
      <c r="H3" s="6" t="n">
        <v>6.730808576851695</v>
      </c>
      <c r="I3" s="7">
        <f>IF(OR(G3="",H3=""),"",G3*1000*H3)</f>
        <v/>
      </c>
    </row>
    <row r="4">
      <c r="A4" s="4" t="n">
        <v>2025</v>
      </c>
      <c r="B4" s="5" t="inlineStr">
        <is>
          <t>Early Crop</t>
        </is>
      </c>
      <c r="C4" s="5" t="inlineStr">
        <is>
          <t>arandano</t>
        </is>
      </c>
      <c r="D4" s="5" t="inlineStr">
        <is>
          <t>mercado interno</t>
        </is>
      </c>
      <c r="E4" s="5" t="inlineStr">
        <is>
          <t>fresco</t>
        </is>
      </c>
      <c r="F4" s="5" t="inlineStr">
        <is>
          <t>mercado interno</t>
        </is>
      </c>
      <c r="G4" s="10" t="n">
        <v>127.1475</v>
      </c>
      <c r="H4" s="6" t="n">
        <v>9.75</v>
      </c>
      <c r="I4" s="7">
        <f>IF(OR(G4="",H4=""),"",G4*1000*H4)</f>
        <v/>
      </c>
    </row>
    <row r="5">
      <c r="A5" s="4" t="n">
        <v>2025</v>
      </c>
      <c r="B5" s="5" t="inlineStr">
        <is>
          <t>Early Crop</t>
        </is>
      </c>
      <c r="C5" s="5" t="inlineStr">
        <is>
          <t>arandano</t>
        </is>
      </c>
      <c r="D5" s="5" t="inlineStr">
        <is>
          <t>mercado interno</t>
        </is>
      </c>
      <c r="E5" s="5" t="inlineStr">
        <is>
          <t>industria</t>
        </is>
      </c>
      <c r="F5" s="5" t="inlineStr">
        <is>
          <t>mercado interno</t>
        </is>
      </c>
      <c r="G5" s="10" t="n">
        <v>349.6</v>
      </c>
      <c r="H5" s="6" t="n">
        <v>2.75095908538824</v>
      </c>
      <c r="I5" s="7">
        <f>IF(OR(G5="",H5=""),"",G5*1000*H5)</f>
        <v/>
      </c>
    </row>
    <row r="6">
      <c r="A6" s="4" t="n">
        <v>2025</v>
      </c>
      <c r="B6" s="5" t="inlineStr">
        <is>
          <t>Early Crop</t>
        </is>
      </c>
      <c r="C6" s="5" t="inlineStr">
        <is>
          <t>limon</t>
        </is>
      </c>
      <c r="D6" s="5" t="inlineStr">
        <is>
          <t>exportacion</t>
        </is>
      </c>
      <c r="E6" s="5" t="inlineStr">
        <is>
          <t>fresco</t>
        </is>
      </c>
      <c r="F6" s="5" t="inlineStr">
        <is>
          <t>USA</t>
        </is>
      </c>
      <c r="G6" s="10" t="n">
        <v>1347.84</v>
      </c>
      <c r="H6" s="6" t="n">
        <v>1.008011900522317</v>
      </c>
      <c r="I6" s="7">
        <f>IF(OR(G6="",H6=""),"",G6*1000*H6)</f>
        <v/>
      </c>
      <c r="K6" s="12" t="n"/>
      <c r="L6" s="11" t="n"/>
    </row>
    <row r="7">
      <c r="A7" s="4" t="n">
        <v>2025</v>
      </c>
      <c r="B7" s="5" t="inlineStr">
        <is>
          <t>Early Crop</t>
        </is>
      </c>
      <c r="C7" s="5" t="inlineStr">
        <is>
          <t>limon</t>
        </is>
      </c>
      <c r="D7" s="5" t="inlineStr">
        <is>
          <t>exportacion</t>
        </is>
      </c>
      <c r="E7" s="5" t="inlineStr">
        <is>
          <t>fresco</t>
        </is>
      </c>
      <c r="F7" s="5" t="inlineStr">
        <is>
          <t>Europa UE</t>
        </is>
      </c>
      <c r="G7" s="10" t="n">
        <v>2171.772</v>
      </c>
      <c r="H7" s="6" t="n">
        <v>1.070785630351621</v>
      </c>
      <c r="I7" s="7">
        <f>IF(OR(G7="",H7=""),"",G7*1000*H7)</f>
        <v/>
      </c>
    </row>
    <row r="8">
      <c r="A8" s="4" t="n">
        <v>2025</v>
      </c>
      <c r="B8" s="5" t="inlineStr">
        <is>
          <t>Early Crop</t>
        </is>
      </c>
      <c r="C8" s="5" t="inlineStr">
        <is>
          <t>limon</t>
        </is>
      </c>
      <c r="D8" s="5" t="inlineStr">
        <is>
          <t>exportacion</t>
        </is>
      </c>
      <c r="E8" s="5" t="inlineStr">
        <is>
          <t>fresco</t>
        </is>
      </c>
      <c r="F8" s="5" t="inlineStr">
        <is>
          <t>Europa No-UE</t>
        </is>
      </c>
      <c r="G8" s="10" t="n">
        <v>2940.828</v>
      </c>
      <c r="H8" s="6" t="n">
        <v>0.8577113894454215</v>
      </c>
      <c r="I8" s="7">
        <f>IF(OR(G8="",H8=""),"",G8*1000*H8)</f>
        <v/>
      </c>
    </row>
    <row r="9">
      <c r="A9" s="4" t="n">
        <v>2025</v>
      </c>
      <c r="B9" s="5" t="inlineStr">
        <is>
          <t>Early Crop</t>
        </is>
      </c>
      <c r="C9" s="5" t="inlineStr">
        <is>
          <t>limon</t>
        </is>
      </c>
      <c r="D9" s="5" t="inlineStr">
        <is>
          <t>mercado interno</t>
        </is>
      </c>
      <c r="E9" s="5" t="inlineStr">
        <is>
          <t>industria</t>
        </is>
      </c>
      <c r="F9" s="5" t="inlineStr">
        <is>
          <t>mercado interno</t>
        </is>
      </c>
      <c r="G9" s="10" t="n">
        <v>5767.8</v>
      </c>
      <c r="H9" s="6" t="n">
        <v>0.1356</v>
      </c>
      <c r="I9" s="7">
        <f>IF(OR(G9="",H9=""),"",G9*1000*H9)</f>
        <v/>
      </c>
    </row>
    <row r="10">
      <c r="A10" s="4" t="n">
        <v>2025</v>
      </c>
      <c r="B10" s="5" t="inlineStr">
        <is>
          <t>Early Crop</t>
        </is>
      </c>
      <c r="C10" s="5" t="inlineStr">
        <is>
          <t>cana</t>
        </is>
      </c>
      <c r="D10" s="5" t="inlineStr">
        <is>
          <t>—</t>
        </is>
      </c>
      <c r="E10" s="5" t="inlineStr">
        <is>
          <t>—</t>
        </is>
      </c>
      <c r="F10" s="5" t="inlineStr">
        <is>
          <t>—</t>
        </is>
      </c>
      <c r="G10" s="10" t="n"/>
      <c r="H10" s="6" t="n"/>
      <c r="I10" s="7">
        <f>IF(OR(G10="",H10=""),"",G10*1000*H10)</f>
        <v/>
      </c>
    </row>
    <row r="11">
      <c r="A11" s="4" t="n">
        <v>2025</v>
      </c>
      <c r="B11" s="5" t="inlineStr">
        <is>
          <t>Greenpack</t>
        </is>
      </c>
      <c r="C11" s="5" t="inlineStr">
        <is>
          <t>empaque</t>
        </is>
      </c>
      <c r="D11" s="5" t="inlineStr">
        <is>
          <t>—</t>
        </is>
      </c>
      <c r="E11" s="5" t="inlineStr">
        <is>
          <t>—</t>
        </is>
      </c>
      <c r="F11" s="5" t="inlineStr">
        <is>
          <t>—</t>
        </is>
      </c>
      <c r="G11" s="10" t="n"/>
      <c r="H11" s="8" t="n"/>
      <c r="I11" s="9" t="n">
        <v>1161700</v>
      </c>
    </row>
    <row r="12">
      <c r="A12" s="4" t="n">
        <v>2026</v>
      </c>
      <c r="B12" s="5" t="inlineStr">
        <is>
          <t>Early Crop</t>
        </is>
      </c>
      <c r="C12" s="5" t="inlineStr">
        <is>
          <t>arandano</t>
        </is>
      </c>
      <c r="D12" s="5" t="inlineStr">
        <is>
          <t>exportacion</t>
        </is>
      </c>
      <c r="E12" s="5" t="inlineStr">
        <is>
          <t>industria</t>
        </is>
      </c>
      <c r="F12" s="5" t="inlineStr">
        <is>
          <t>Europa</t>
        </is>
      </c>
      <c r="G12" s="10" t="n">
        <v>135</v>
      </c>
      <c r="H12" s="6" t="n">
        <v>2.8</v>
      </c>
      <c r="I12" s="7">
        <f>IF(OR(G12="",H12=""),"",G12*1000*H12)</f>
        <v/>
      </c>
    </row>
    <row r="13">
      <c r="A13" s="4" t="n">
        <v>2026</v>
      </c>
      <c r="B13" s="5" t="inlineStr">
        <is>
          <t>Early Crop</t>
        </is>
      </c>
      <c r="C13" s="5" t="inlineStr">
        <is>
          <t>arandano</t>
        </is>
      </c>
      <c r="D13" s="5" t="inlineStr">
        <is>
          <t>exportacion</t>
        </is>
      </c>
      <c r="E13" s="5" t="inlineStr">
        <is>
          <t>fresco</t>
        </is>
      </c>
      <c r="F13" s="5" t="inlineStr">
        <is>
          <t>Europa</t>
        </is>
      </c>
      <c r="G13" s="10" t="n">
        <v>1091.6</v>
      </c>
      <c r="H13" s="6" t="n">
        <v>7.458867717112496</v>
      </c>
      <c r="I13" s="7">
        <f>IF(OR(G13="",H13=""),"",G13*1000*H13)</f>
        <v/>
      </c>
    </row>
    <row r="14">
      <c r="A14" s="4" t="n">
        <v>2026</v>
      </c>
      <c r="B14" s="5" t="inlineStr">
        <is>
          <t>Early Crop</t>
        </is>
      </c>
      <c r="C14" s="5" t="inlineStr">
        <is>
          <t>arandano</t>
        </is>
      </c>
      <c r="D14" s="5" t="inlineStr">
        <is>
          <t>mercado interno</t>
        </is>
      </c>
      <c r="E14" s="5" t="inlineStr">
        <is>
          <t>fresco</t>
        </is>
      </c>
      <c r="F14" s="5" t="inlineStr">
        <is>
          <t>mercado interno</t>
        </is>
      </c>
      <c r="G14" s="10" t="n">
        <v>171.4</v>
      </c>
      <c r="H14" s="6" t="n">
        <v>8.026837806301051</v>
      </c>
      <c r="I14" s="7">
        <f>IF(OR(G14="",H14=""),"",G14*1000*H14)</f>
        <v/>
      </c>
    </row>
    <row r="15">
      <c r="A15" s="4" t="n">
        <v>2026</v>
      </c>
      <c r="B15" s="5" t="inlineStr">
        <is>
          <t>Early Crop</t>
        </is>
      </c>
      <c r="C15" s="5" t="inlineStr">
        <is>
          <t>arandano</t>
        </is>
      </c>
      <c r="D15" s="5" t="inlineStr">
        <is>
          <t>mercado interno</t>
        </is>
      </c>
      <c r="E15" s="5" t="inlineStr">
        <is>
          <t>industria</t>
        </is>
      </c>
      <c r="F15" s="5" t="inlineStr">
        <is>
          <t>mercado interno</t>
        </is>
      </c>
      <c r="G15" s="10" t="n">
        <v>402</v>
      </c>
      <c r="H15" s="6" t="n">
        <v>2.8</v>
      </c>
      <c r="I15" s="7">
        <f>IF(OR(G15="",H15=""),"",G15*1000*H15)</f>
        <v/>
      </c>
    </row>
    <row r="16">
      <c r="A16" s="4" t="n">
        <v>2026</v>
      </c>
      <c r="B16" s="5" t="inlineStr">
        <is>
          <t>Early Crop</t>
        </is>
      </c>
      <c r="C16" s="5" t="inlineStr">
        <is>
          <t>limon</t>
        </is>
      </c>
      <c r="D16" s="5" t="inlineStr">
        <is>
          <t>exportacion</t>
        </is>
      </c>
      <c r="E16" s="5" t="inlineStr">
        <is>
          <t>fresco</t>
        </is>
      </c>
      <c r="F16" s="5" t="inlineStr">
        <is>
          <t>USA</t>
        </is>
      </c>
      <c r="G16" s="10" t="n">
        <v>3913.92</v>
      </c>
      <c r="H16" s="6" t="n">
        <v>0.97</v>
      </c>
      <c r="I16" s="7">
        <f>IF(OR(G16="",H16=""),"",G16*1000*H16)</f>
        <v/>
      </c>
    </row>
    <row r="17">
      <c r="A17" s="4" t="n">
        <v>2026</v>
      </c>
      <c r="B17" s="5" t="inlineStr">
        <is>
          <t>Early Crop</t>
        </is>
      </c>
      <c r="C17" s="5" t="inlineStr">
        <is>
          <t>limon</t>
        </is>
      </c>
      <c r="D17" s="5" t="inlineStr">
        <is>
          <t>exportacion</t>
        </is>
      </c>
      <c r="E17" s="5" t="inlineStr">
        <is>
          <t>fresco</t>
        </is>
      </c>
      <c r="F17" s="5" t="inlineStr">
        <is>
          <t>Europa UE</t>
        </is>
      </c>
      <c r="G17" s="10" t="n">
        <v>4872.96</v>
      </c>
      <c r="H17" s="6" t="n">
        <v>0.97</v>
      </c>
      <c r="I17" s="7">
        <f>IF(OR(G17="",H17=""),"",G17*1000*H17)</f>
        <v/>
      </c>
    </row>
    <row r="18">
      <c r="A18" s="4" t="n">
        <v>2026</v>
      </c>
      <c r="B18" s="5" t="inlineStr">
        <is>
          <t>Early Crop</t>
        </is>
      </c>
      <c r="C18" s="5" t="inlineStr">
        <is>
          <t>limon</t>
        </is>
      </c>
      <c r="D18" s="5" t="inlineStr">
        <is>
          <t>exportacion</t>
        </is>
      </c>
      <c r="E18" s="5" t="inlineStr">
        <is>
          <t>fresco</t>
        </is>
      </c>
      <c r="F18" s="5" t="inlineStr">
        <is>
          <t>Europa No-UE</t>
        </is>
      </c>
      <c r="G18" s="10" t="n">
        <v>4790.208</v>
      </c>
      <c r="H18" s="6" t="n">
        <v>0.97</v>
      </c>
      <c r="I18" s="7">
        <f>IF(OR(G18="",H18=""),"",G18*1000*H18)</f>
        <v/>
      </c>
    </row>
    <row r="19">
      <c r="A19" s="4" t="n">
        <v>2026</v>
      </c>
      <c r="B19" s="5" t="inlineStr">
        <is>
          <t>Early Crop</t>
        </is>
      </c>
      <c r="C19" s="5" t="inlineStr">
        <is>
          <t>limon</t>
        </is>
      </c>
      <c r="D19" s="5" t="inlineStr">
        <is>
          <t>mercado interno</t>
        </is>
      </c>
      <c r="E19" s="5" t="inlineStr">
        <is>
          <t>industria</t>
        </is>
      </c>
      <c r="F19" s="5" t="inlineStr">
        <is>
          <t>mercado interno</t>
        </is>
      </c>
      <c r="G19" s="10" t="n">
        <v>11540</v>
      </c>
      <c r="H19" s="6" t="n">
        <v>0.156</v>
      </c>
      <c r="I19" s="7">
        <f>IF(OR(G19="",H19=""),"",G19*1000*H19)</f>
        <v/>
      </c>
    </row>
    <row r="20">
      <c r="A20" s="4" t="n">
        <v>2026</v>
      </c>
      <c r="B20" s="5" t="inlineStr">
        <is>
          <t>Early Crop</t>
        </is>
      </c>
      <c r="C20" s="5" t="inlineStr">
        <is>
          <t>cana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10" t="n"/>
      <c r="H20" s="6" t="n"/>
      <c r="I20" s="7">
        <f>IF(OR(G20="",H20=""),"",G20*1000*H20)</f>
        <v/>
      </c>
    </row>
    <row r="21">
      <c r="A21" s="4" t="n">
        <v>2026</v>
      </c>
      <c r="B21" s="5" t="inlineStr">
        <is>
          <t>Greenpack</t>
        </is>
      </c>
      <c r="C21" s="5" t="inlineStr">
        <is>
          <t>empaque</t>
        </is>
      </c>
      <c r="D21" s="5" t="inlineStr">
        <is>
          <t>—</t>
        </is>
      </c>
      <c r="E21" s="5" t="inlineStr">
        <is>
          <t>—</t>
        </is>
      </c>
      <c r="F21" s="5" t="inlineStr">
        <is>
          <t>—</t>
        </is>
      </c>
      <c r="G21" s="10" t="n"/>
      <c r="H21" s="8" t="n"/>
      <c r="I21" s="9" t="n">
        <v>1973600</v>
      </c>
    </row>
  </sheetData>
  <dataValidations disablePrompts="1" count="6">
    <dataValidation sqref="F22:F494" showDropDown="0" showInputMessage="0" showErrorMessage="0" allowBlank="0" type="list">
      <formula1>"USA,Rusia,Europa UE,Europa No-UE,mercado interno,—"</formula1>
      <formula2>0</formula2>
    </dataValidation>
    <dataValidation sqref="B2:B494" showDropDown="0" showInputMessage="0" showErrorMessage="0" allowBlank="0" type="list">
      <formula1>"Early Crop,Greenpack"</formula1>
      <formula2>0</formula2>
    </dataValidation>
    <dataValidation sqref="C2:C494" showDropDown="0" showInputMessage="0" showErrorMessage="0" allowBlank="0" type="list">
      <formula1>"arandano,limon,cana,empaque"</formula1>
      <formula2>0</formula2>
    </dataValidation>
    <dataValidation sqref="D2:D494" showDropDown="0" showInputMessage="0" showErrorMessage="0" allowBlank="0" type="list">
      <formula1>"exportacion,mercado interno,—"</formula1>
      <formula2>0</formula2>
    </dataValidation>
    <dataValidation sqref="E2:E494" showDropDown="0" showInputMessage="0" showErrorMessage="0" allowBlank="0" type="list">
      <formula1>"fresco,industria,—"</formula1>
      <formula2>0</formula2>
    </dataValidation>
    <dataValidation sqref="F2:F21" showDropDown="0" showInputMessage="0" showErrorMessage="0" allowBlank="0" type="list">
      <formula1>"USA,Rusia,Europa UE,Europa No-UE,mercado interno,—,Europa"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4" t="inlineStr">
        <is>
          <t>Panel Early Crop — Proyección Comercial</t>
        </is>
      </c>
    </row>
    <row r="2">
      <c r="A2" s="15" t="inlineStr">
        <is>
          <t>Ingresos proyectados por cultivo · USD · Base: datos reales 2026 + tasas de crecimiento estimadas</t>
        </is>
      </c>
    </row>
    <row r="3">
      <c r="A3" s="16" t="inlineStr">
        <is>
          <t>NOTA: Columna 2026 = dato real (no editar). Columnas 2027-2036 = proyección (editar libremente).</t>
        </is>
      </c>
    </row>
    <row r="4">
      <c r="A4" t="inlineStr"/>
    </row>
    <row r="5" ht="20" customHeight="1">
      <c r="A5" s="17" t="inlineStr">
        <is>
          <t>Cultivo</t>
        </is>
      </c>
      <c r="B5" s="17" t="inlineStr">
        <is>
          <t>2026</t>
        </is>
      </c>
      <c r="C5" s="17" t="inlineStr">
        <is>
          <t>2027</t>
        </is>
      </c>
      <c r="D5" s="17" t="inlineStr">
        <is>
          <t>2028</t>
        </is>
      </c>
      <c r="E5" s="17" t="inlineStr">
        <is>
          <t>2029</t>
        </is>
      </c>
      <c r="F5" s="17" t="inlineStr">
        <is>
          <t>2030</t>
        </is>
      </c>
      <c r="G5" s="17" t="inlineStr">
        <is>
          <t>2031</t>
        </is>
      </c>
      <c r="H5" s="17" t="inlineStr">
        <is>
          <t>2032</t>
        </is>
      </c>
      <c r="I5" s="17" t="inlineStr">
        <is>
          <t>2033</t>
        </is>
      </c>
      <c r="J5" s="17" t="inlineStr">
        <is>
          <t>2034</t>
        </is>
      </c>
      <c r="K5" s="17" t="inlineStr">
        <is>
          <t>2035</t>
        </is>
      </c>
      <c r="L5" s="17" t="inlineStr">
        <is>
          <t>2036</t>
        </is>
      </c>
    </row>
    <row r="6" ht="20" customHeight="1">
      <c r="A6" s="18" t="inlineStr">
        <is>
          <t>Arándano</t>
        </is>
      </c>
      <c r="B6" s="19" t="n">
        <v>11021500</v>
      </c>
      <c r="C6" s="20" t="n">
        <v>13005370</v>
      </c>
      <c r="D6" s="20" t="n">
        <v>16256712</v>
      </c>
      <c r="E6" s="20" t="n">
        <v>19833189</v>
      </c>
      <c r="F6" s="20" t="n">
        <v>22609836</v>
      </c>
      <c r="G6" s="20" t="n">
        <v>24192524</v>
      </c>
      <c r="H6" s="20" t="n">
        <v>24676375</v>
      </c>
      <c r="I6" s="20" t="n">
        <v>24676375</v>
      </c>
      <c r="J6" s="20" t="n">
        <v>24182847</v>
      </c>
      <c r="K6" s="20" t="n">
        <v>23457362</v>
      </c>
      <c r="L6" s="20" t="n">
        <v>22519067</v>
      </c>
    </row>
    <row r="7" ht="20" customHeight="1">
      <c r="A7" s="21" t="inlineStr">
        <is>
          <t>Limón</t>
        </is>
      </c>
      <c r="B7" s="19" t="n">
        <v>14970015</v>
      </c>
      <c r="C7" s="22" t="n">
        <v>15568816</v>
      </c>
      <c r="D7" s="22" t="n">
        <v>16191568</v>
      </c>
      <c r="E7" s="22" t="n">
        <v>16677315</v>
      </c>
      <c r="F7" s="22" t="n">
        <v>17177635</v>
      </c>
      <c r="G7" s="22" t="n">
        <v>17521187</v>
      </c>
      <c r="H7" s="22" t="n">
        <v>17871611</v>
      </c>
      <c r="I7" s="22" t="n">
        <v>18229043</v>
      </c>
      <c r="J7" s="22" t="n">
        <v>18593624</v>
      </c>
      <c r="K7" s="22" t="n">
        <v>18965497</v>
      </c>
      <c r="L7" s="22" t="n">
        <v>19344807</v>
      </c>
    </row>
    <row r="8" ht="20" customHeight="1">
      <c r="A8" s="18" t="inlineStr">
        <is>
          <t>Caña de azúcar</t>
        </is>
      </c>
      <c r="B8" s="19" t="n">
        <v>0</v>
      </c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</row>
    <row r="9" ht="20" customHeight="1">
      <c r="A9" s="21" t="inlineStr">
        <is>
          <t>Empaque (Greenpack)</t>
        </is>
      </c>
      <c r="B9" s="19" t="n">
        <v>1973600</v>
      </c>
      <c r="C9" s="22" t="n">
        <v>2249904</v>
      </c>
      <c r="D9" s="22" t="n">
        <v>2699885</v>
      </c>
      <c r="E9" s="22" t="n">
        <v>3158865</v>
      </c>
      <c r="F9" s="22" t="n">
        <v>3506340</v>
      </c>
      <c r="G9" s="22" t="n">
        <v>3716721</v>
      </c>
      <c r="H9" s="22" t="n">
        <v>3791055</v>
      </c>
      <c r="I9" s="22" t="n">
        <v>3791055</v>
      </c>
      <c r="J9" s="22" t="n">
        <v>3753145</v>
      </c>
      <c r="K9" s="22" t="n">
        <v>3678082</v>
      </c>
      <c r="L9" s="22" t="n">
        <v>3567739</v>
      </c>
    </row>
    <row r="10" ht="20" customHeight="1">
      <c r="A10" s="23" t="inlineStr">
        <is>
          <t>TOTAL GRUPO</t>
        </is>
      </c>
      <c r="B10" s="24">
        <f>SUM(B6,B7,B8,B9)</f>
        <v/>
      </c>
      <c r="C10" s="24">
        <f>SUM(C6,C7,C8,C9)</f>
        <v/>
      </c>
      <c r="D10" s="24">
        <f>SUM(D6,D7,D8,D9)</f>
        <v/>
      </c>
      <c r="E10" s="24">
        <f>SUM(E6,E7,E8,E9)</f>
        <v/>
      </c>
      <c r="F10" s="24">
        <f>SUM(F6,F7,F8,F9)</f>
        <v/>
      </c>
      <c r="G10" s="24">
        <f>SUM(G6,G7,G8,G9)</f>
        <v/>
      </c>
      <c r="H10" s="24">
        <f>SUM(H6,H7,H8,H9)</f>
        <v/>
      </c>
      <c r="I10" s="24">
        <f>SUM(I6,I7,I8,I9)</f>
        <v/>
      </c>
      <c r="J10" s="24">
        <f>SUM(J6,J7,J8,J9)</f>
        <v/>
      </c>
      <c r="K10" s="24">
        <f>SUM(K6,K7,K8,K9)</f>
        <v/>
      </c>
      <c r="L10" s="24">
        <f>SUM(L6,L7,L8,L9)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2026-04-27T15:21:03Z</dcterms:created>
  <dcterms:modified xmlns:dcterms="http://purl.org/dc/terms/" xmlns:xsi="http://www.w3.org/2001/XMLSchema-instance" xsi:type="dcterms:W3CDTF">2026-04-28T19:19:54Z</dcterms:modified>
  <cp:lastModifiedBy>sbaya</cp:lastModifiedBy>
  <cp:revision>0</cp:revision>
</cp:coreProperties>
</file>