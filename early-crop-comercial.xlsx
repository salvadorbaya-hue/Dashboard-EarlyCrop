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Ingreso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<sst xmlns="http://schemas.openxmlformats.org/spreadsheetml/2006/main" count="161" uniqueCount="46">
  <si>
    <t xml:space="preserve">Panel Early Crop — Comercial</t>
  </si>
  <si>
    <t xml:space="preserve">Este archivo contiene los datos de comercialización del grupo Early Crop.</t>
  </si>
  <si>
    <t xml:space="preserve">Hojas:</t>
  </si>
  <si>
    <t xml:space="preserve">  • Ingresos — Una fila por combinación de año, entidad, cultivo, canal, tipo y mercado.</t>
  </si>
  <si>
    <t xml:space="preserve">Cómo cargar:</t>
  </si>
  <si>
    <t xml:space="preserve">  1. Cargar año, entidad, cultivo, canal, tipo, mercado, kg_miles y precio_kg_usd.</t>
  </si>
  <si>
    <t xml:space="preserve">  2. La columna ingreso_usd se calcula automáticamente (kg × 1.000 × precio).</t>
  </si>
  <si>
    <t xml:space="preserve">  3. Para empaque y caña no aplica tipo ni mercado: dejar vacíos o usar "—".</t>
  </si>
  <si>
    <t xml:space="preserve">Convenciones:</t>
  </si>
  <si>
    <t xml:space="preserve">  • Valores monetarios en USD.</t>
  </si>
  <si>
    <t xml:space="preserve">  • kg_miles en miles de kg (ej. 850 = 850.000 kg).</t>
  </si>
  <si>
    <t xml:space="preserve">  • precio_kg_usd en USD por kg (ej. 5.80).</t>
  </si>
  <si>
    <t xml:space="preserve">  • Celdas en azul son inputs (cargar manualmente).</t>
  </si>
  <si>
    <t xml:space="preserve">  • Celdas en negro son fórmulas (calculadas).</t>
  </si>
  <si>
    <t xml:space="preserve">Cómo agregar un año nuevo:</t>
  </si>
  <si>
    <t xml:space="preserve">  Simplemente agregar filas con el año correspondiente. El panel detecta los años automáticamente.</t>
  </si>
  <si>
    <t xml:space="preserve">Validaciones activas:</t>
  </si>
  <si>
    <t xml:space="preserve">  • entidad: Early Crop / Greenpack</t>
  </si>
  <si>
    <t xml:space="preserve">  • cultivo: arandano / limon / cana / empaque</t>
  </si>
  <si>
    <t xml:space="preserve">  • canal: exportacion / mercado interno / —</t>
  </si>
  <si>
    <t xml:space="preserve">  • tipo: fresco / industria / —</t>
  </si>
  <si>
    <t xml:space="preserve">  • mercado: USA / Rusia / Europa UE / Europa No-UE / mercado interno / —</t>
  </si>
  <si>
    <t xml:space="preserve">año</t>
  </si>
  <si>
    <t xml:space="preserve">entidad</t>
  </si>
  <si>
    <t xml:space="preserve">cultivo</t>
  </si>
  <si>
    <t xml:space="preserve">canal</t>
  </si>
  <si>
    <t xml:space="preserve">tipo</t>
  </si>
  <si>
    <t xml:space="preserve">mercado</t>
  </si>
  <si>
    <t xml:space="preserve">kg_miles</t>
  </si>
  <si>
    <t xml:space="preserve">precio_kg_usd</t>
  </si>
  <si>
    <t xml:space="preserve">ingreso_usd</t>
  </si>
  <si>
    <t xml:space="preserve">Early Crop</t>
  </si>
  <si>
    <t xml:space="preserve">arandano</t>
  </si>
  <si>
    <t xml:space="preserve">exportacion</t>
  </si>
  <si>
    <t xml:space="preserve">fresco</t>
  </si>
  <si>
    <t xml:space="preserve">USA</t>
  </si>
  <si>
    <t xml:space="preserve">Europa UE</t>
  </si>
  <si>
    <t xml:space="preserve">Europa No-UE</t>
  </si>
  <si>
    <t xml:space="preserve">mercado interno</t>
  </si>
  <si>
    <t xml:space="preserve">industria</t>
  </si>
  <si>
    <t xml:space="preserve">limon</t>
  </si>
  <si>
    <t xml:space="preserve">Rusia</t>
  </si>
  <si>
    <t xml:space="preserve">cana</t>
  </si>
  <si>
    <t xml:space="preserve">—</t>
  </si>
  <si>
    <t xml:space="preserve">Greenpack</t>
  </si>
  <si>
    <t xml:space="preserve">empaque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</si>
</sst>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#,##0"/>
    <numFmt numFmtId="167" formatCode="\$#,##0.000"/>
    <numFmt numFmtId="168" formatCode="\$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66"/>
      <name val="Calibri"/>
      <family val="0"/>
      <charset val="1"/>
    </font>
    <font>
      <sz val="11"/>
      <color rgb="FF333333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0000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A66"/>
        <bgColor rgb="FF3333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2" t="s">
        <v>2</v>
      </c>
    </row>
    <row r="6" customFormat="false" ht="15" hidden="false" customHeight="false" outlineLevel="0" collapsed="false">
      <c r="A6" s="2" t="s">
        <v>3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2" t="s">
        <v>4</v>
      </c>
    </row>
    <row r="9" customFormat="false" ht="15" hidden="false" customHeight="false" outlineLevel="0" collapsed="false">
      <c r="A9" s="2" t="s">
        <v>5</v>
      </c>
    </row>
    <row r="10" customFormat="false" ht="15" hidden="false" customHeight="false" outlineLevel="0" collapsed="false">
      <c r="A10" s="2" t="s">
        <v>6</v>
      </c>
    </row>
    <row r="11" customFormat="false" ht="15" hidden="false" customHeight="false" outlineLevel="0" collapsed="false">
      <c r="A11" s="2" t="s">
        <v>7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2" t="s">
        <v>8</v>
      </c>
    </row>
    <row r="14" customFormat="false" ht="15" hidden="false" customHeight="false" outlineLevel="0" collapsed="false">
      <c r="A14" s="2" t="s">
        <v>9</v>
      </c>
    </row>
    <row r="15" customFormat="false" ht="15" hidden="false" customHeight="false" outlineLevel="0" collapsed="false">
      <c r="A15" s="2" t="s">
        <v>10</v>
      </c>
    </row>
    <row r="16" customFormat="false" ht="15" hidden="false" customHeight="false" outlineLevel="0" collapsed="false">
      <c r="A16" s="2" t="s">
        <v>11</v>
      </c>
    </row>
    <row r="17" customFormat="false" ht="15" hidden="false" customHeight="false" outlineLevel="0" collapsed="false">
      <c r="A17" s="2" t="s">
        <v>12</v>
      </c>
    </row>
    <row r="18" customFormat="false" ht="15" hidden="false" customHeight="false" outlineLevel="0" collapsed="false">
      <c r="A18" s="2" t="s">
        <v>13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2" t="s">
        <v>14</v>
      </c>
    </row>
    <row r="21" customFormat="false" ht="15" hidden="false" customHeight="false" outlineLevel="0" collapsed="false">
      <c r="A21" s="2" t="s">
        <v>15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2" t="s">
        <v>16</v>
      </c>
    </row>
    <row r="24" customFormat="false" ht="15" hidden="false" customHeight="false" outlineLevel="0" collapsed="false">
      <c r="A24" s="2" t="s">
        <v>17</v>
      </c>
    </row>
    <row r="25" customFormat="false" ht="15" hidden="false" customHeight="false" outlineLevel="0" collapsed="false">
      <c r="A25" s="2" t="s">
        <v>18</v>
      </c>
    </row>
    <row r="26" customFormat="false" ht="15" hidden="false" customHeight="false" outlineLevel="0" collapsed="false">
      <c r="A26" s="2" t="s">
        <v>19</v>
      </c>
    </row>
    <row r="27" customFormat="false" ht="15" hidden="false" customHeight="false" outlineLevel="0" collapsed="false">
      <c r="A27" s="2" t="s">
        <v>20</v>
      </c>
    </row>
    <row r="28" customFormat="false" ht="15" hidden="false" customHeight="false" outlineLevel="0" collapsed="false">
      <c r="A28" s="2" t="s">
        <v>21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11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9" min="8" style="0" width="14"/>
  </cols>
  <sheetData>
    <row r="1" customFormat="false" ht="15" hidden="false" customHeight="false" outlineLevel="0" collapsed="false">
      <c r="A1" s="3" t="s">
        <v>22</v>
      </c>
      <c r="B1" s="3" t="s">
        <v>23</v>
      </c>
      <c r="C1" s="3" t="s">
        <v>24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3" t="s">
        <v>30</v>
      </c>
    </row>
    <row r="2" customFormat="false" ht="15" hidden="false" customHeight="false" outlineLevel="0" collapsed="false">
      <c r="A2" s="4" t="n">
        <v>2025</v>
      </c>
      <c r="B2" s="5" t="s">
        <v>31</v>
      </c>
      <c r="C2" s="5" t="s">
        <v>32</v>
      </c>
      <c r="D2" s="5" t="s">
        <v>33</v>
      </c>
      <c r="E2" s="5" t="s">
        <v>34</v>
      </c>
      <c r="F2" s="5" t="s">
        <v>35</v>
      </c>
      <c r="G2" s="6" t="n">
        <v>720</v>
      </c>
      <c r="H2" s="7" t="n">
        <v>5.65</v>
      </c>
      <c r="I2" s="8" t="n">
        <f aca="false">IF(OR(G2="",H2=""),"",G2*1000*H2)</f>
        <v>4068000</v>
      </c>
    </row>
    <row r="3" customFormat="false" ht="15" hidden="false" customHeight="false" outlineLevel="0" collapsed="false">
      <c r="A3" s="4" t="n">
        <v>2025</v>
      </c>
      <c r="B3" s="5" t="s">
        <v>31</v>
      </c>
      <c r="C3" s="5" t="s">
        <v>32</v>
      </c>
      <c r="D3" s="5" t="s">
        <v>33</v>
      </c>
      <c r="E3" s="5" t="s">
        <v>34</v>
      </c>
      <c r="F3" s="5" t="s">
        <v>36</v>
      </c>
      <c r="G3" s="6" t="n">
        <v>280</v>
      </c>
      <c r="H3" s="7" t="n">
        <v>5.4</v>
      </c>
      <c r="I3" s="8" t="n">
        <f aca="false">IF(OR(G3="",H3=""),"",G3*1000*H3)</f>
        <v>1512000</v>
      </c>
    </row>
    <row r="4" customFormat="false" ht="15" hidden="false" customHeight="false" outlineLevel="0" collapsed="false">
      <c r="A4" s="4" t="n">
        <v>2025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37</v>
      </c>
      <c r="G4" s="6" t="n">
        <v>110</v>
      </c>
      <c r="H4" s="7" t="n">
        <v>5.2</v>
      </c>
      <c r="I4" s="8" t="n">
        <f aca="false">IF(OR(G4="",H4=""),"",G4*1000*H4)</f>
        <v>572000</v>
      </c>
    </row>
    <row r="5" customFormat="false" ht="15" hidden="false" customHeight="false" outlineLevel="0" collapsed="false">
      <c r="A5" s="4" t="n">
        <v>2025</v>
      </c>
      <c r="B5" s="5" t="s">
        <v>31</v>
      </c>
      <c r="C5" s="5" t="s">
        <v>32</v>
      </c>
      <c r="D5" s="5" t="s">
        <v>38</v>
      </c>
      <c r="E5" s="5" t="s">
        <v>34</v>
      </c>
      <c r="F5" s="5" t="s">
        <v>38</v>
      </c>
      <c r="G5" s="6" t="n">
        <v>90</v>
      </c>
      <c r="H5" s="7" t="n">
        <v>3.2</v>
      </c>
      <c r="I5" s="8" t="n">
        <f aca="false">IF(OR(G5="",H5=""),"",G5*1000*H5)</f>
        <v>288000</v>
      </c>
    </row>
    <row r="6" customFormat="false" ht="15" hidden="false" customHeight="false" outlineLevel="0" collapsed="false">
      <c r="A6" s="4" t="n">
        <v>2025</v>
      </c>
      <c r="B6" s="5" t="s">
        <v>31</v>
      </c>
      <c r="C6" s="5" t="s">
        <v>32</v>
      </c>
      <c r="D6" s="5" t="s">
        <v>38</v>
      </c>
      <c r="E6" s="5" t="s">
        <v>39</v>
      </c>
      <c r="F6" s="5" t="s">
        <v>38</v>
      </c>
      <c r="G6" s="6" t="n">
        <v>140</v>
      </c>
      <c r="H6" s="7" t="n">
        <v>1.8</v>
      </c>
      <c r="I6" s="8" t="n">
        <f aca="false">IF(OR(G6="",H6=""),"",G6*1000*H6)</f>
        <v>252000</v>
      </c>
    </row>
    <row r="7" customFormat="false" ht="15" hidden="false" customHeight="false" outlineLevel="0" collapsed="false">
      <c r="A7" s="4" t="n">
        <v>2025</v>
      </c>
      <c r="B7" s="5" t="s">
        <v>31</v>
      </c>
      <c r="C7" s="5" t="s">
        <v>40</v>
      </c>
      <c r="D7" s="5" t="s">
        <v>33</v>
      </c>
      <c r="E7" s="5" t="s">
        <v>34</v>
      </c>
      <c r="F7" s="5" t="s">
        <v>35</v>
      </c>
      <c r="G7" s="6" t="n">
        <v>3800</v>
      </c>
      <c r="H7" s="7" t="n">
        <v>0.61</v>
      </c>
      <c r="I7" s="8" t="n">
        <f aca="false">IF(OR(G7="",H7=""),"",G7*1000*H7)</f>
        <v>2318000</v>
      </c>
    </row>
    <row r="8" customFormat="false" ht="15" hidden="false" customHeight="false" outlineLevel="0" collapsed="false">
      <c r="A8" s="4" t="n">
        <v>2025</v>
      </c>
      <c r="B8" s="5" t="s">
        <v>31</v>
      </c>
      <c r="C8" s="5" t="s">
        <v>40</v>
      </c>
      <c r="D8" s="5" t="s">
        <v>33</v>
      </c>
      <c r="E8" s="5" t="s">
        <v>34</v>
      </c>
      <c r="F8" s="5" t="s">
        <v>41</v>
      </c>
      <c r="G8" s="6" t="n">
        <v>2200</v>
      </c>
      <c r="H8" s="7" t="n">
        <v>0.55</v>
      </c>
      <c r="I8" s="8" t="n">
        <f aca="false">IF(OR(G8="",H8=""),"",G8*1000*H8)</f>
        <v>1210000</v>
      </c>
    </row>
    <row r="9" customFormat="false" ht="15" hidden="false" customHeight="false" outlineLevel="0" collapsed="false">
      <c r="A9" s="4" t="n">
        <v>2025</v>
      </c>
      <c r="B9" s="5" t="s">
        <v>31</v>
      </c>
      <c r="C9" s="5" t="s">
        <v>40</v>
      </c>
      <c r="D9" s="5" t="s">
        <v>33</v>
      </c>
      <c r="E9" s="5" t="s">
        <v>34</v>
      </c>
      <c r="F9" s="5" t="s">
        <v>36</v>
      </c>
      <c r="G9" s="6" t="n">
        <v>4100</v>
      </c>
      <c r="H9" s="7" t="n">
        <v>0.64</v>
      </c>
      <c r="I9" s="8" t="n">
        <f aca="false">IF(OR(G9="",H9=""),"",G9*1000*H9)</f>
        <v>2624000</v>
      </c>
    </row>
    <row r="10" customFormat="false" ht="15" hidden="false" customHeight="false" outlineLevel="0" collapsed="false">
      <c r="A10" s="4" t="n">
        <v>2025</v>
      </c>
      <c r="B10" s="5" t="s">
        <v>31</v>
      </c>
      <c r="C10" s="5" t="s">
        <v>40</v>
      </c>
      <c r="D10" s="5" t="s">
        <v>33</v>
      </c>
      <c r="E10" s="5" t="s">
        <v>34</v>
      </c>
      <c r="F10" s="5" t="s">
        <v>37</v>
      </c>
      <c r="G10" s="6" t="n">
        <v>1450</v>
      </c>
      <c r="H10" s="7" t="n">
        <v>0.58</v>
      </c>
      <c r="I10" s="8" t="n">
        <f aca="false">IF(OR(G10="",H10=""),"",G10*1000*H10)</f>
        <v>841000</v>
      </c>
    </row>
    <row r="11" customFormat="false" ht="15" hidden="false" customHeight="false" outlineLevel="0" collapsed="false">
      <c r="A11" s="4" t="n">
        <v>2025</v>
      </c>
      <c r="B11" s="5" t="s">
        <v>31</v>
      </c>
      <c r="C11" s="5" t="s">
        <v>40</v>
      </c>
      <c r="D11" s="5" t="s">
        <v>38</v>
      </c>
      <c r="E11" s="5" t="s">
        <v>34</v>
      </c>
      <c r="F11" s="5" t="s">
        <v>38</v>
      </c>
      <c r="G11" s="6" t="n">
        <v>850</v>
      </c>
      <c r="H11" s="7" t="n">
        <v>0.42</v>
      </c>
      <c r="I11" s="8" t="n">
        <f aca="false">IF(OR(G11="",H11=""),"",G11*1000*H11)</f>
        <v>357000</v>
      </c>
    </row>
    <row r="12" customFormat="false" ht="15" hidden="false" customHeight="false" outlineLevel="0" collapsed="false">
      <c r="A12" s="4" t="n">
        <v>2025</v>
      </c>
      <c r="B12" s="5" t="s">
        <v>31</v>
      </c>
      <c r="C12" s="5" t="s">
        <v>40</v>
      </c>
      <c r="D12" s="5" t="s">
        <v>38</v>
      </c>
      <c r="E12" s="5" t="s">
        <v>39</v>
      </c>
      <c r="F12" s="5" t="s">
        <v>38</v>
      </c>
      <c r="G12" s="6" t="n">
        <v>2800</v>
      </c>
      <c r="H12" s="7" t="n">
        <v>0.18</v>
      </c>
      <c r="I12" s="8" t="n">
        <f aca="false">IF(OR(G12="",H12=""),"",G12*1000*H12)</f>
        <v>504000</v>
      </c>
    </row>
    <row r="13" customFormat="false" ht="15" hidden="false" customHeight="false" outlineLevel="0" collapsed="false">
      <c r="A13" s="4" t="n">
        <v>2025</v>
      </c>
      <c r="B13" s="5" t="s">
        <v>31</v>
      </c>
      <c r="C13" s="5" t="s">
        <v>42</v>
      </c>
      <c r="D13" s="5" t="s">
        <v>43</v>
      </c>
      <c r="E13" s="5" t="s">
        <v>43</v>
      </c>
      <c r="F13" s="5" t="s">
        <v>43</v>
      </c>
      <c r="G13" s="6" t="n">
        <v>33000</v>
      </c>
      <c r="H13" s="7" t="n">
        <v>0.038</v>
      </c>
      <c r="I13" s="8" t="n">
        <f aca="false">IF(OR(G13="",H13=""),"",G13*1000*H13)</f>
        <v>1254000</v>
      </c>
    </row>
    <row r="14" customFormat="false" ht="15" hidden="false" customHeight="false" outlineLevel="0" collapsed="false">
      <c r="A14" s="4" t="n">
        <v>2025</v>
      </c>
      <c r="B14" s="5" t="s">
        <v>44</v>
      </c>
      <c r="C14" s="5" t="s">
        <v>45</v>
      </c>
      <c r="D14" s="5" t="s">
        <v>43</v>
      </c>
      <c r="E14" s="5" t="s">
        <v>43</v>
      </c>
      <c r="F14" s="5" t="s">
        <v>43</v>
      </c>
      <c r="G14" s="9"/>
      <c r="H14" s="9"/>
      <c r="I14" s="10" t="n">
        <v>250000</v>
      </c>
    </row>
    <row r="15" customFormat="false" ht="15" hidden="false" customHeight="false" outlineLevel="0" collapsed="false">
      <c r="A15" s="4" t="n">
        <v>2026</v>
      </c>
      <c r="B15" s="5" t="s">
        <v>31</v>
      </c>
      <c r="C15" s="5" t="s">
        <v>32</v>
      </c>
      <c r="D15" s="5" t="s">
        <v>33</v>
      </c>
      <c r="E15" s="5" t="s">
        <v>34</v>
      </c>
      <c r="F15" s="5" t="s">
        <v>35</v>
      </c>
      <c r="G15" s="6" t="n">
        <v>850</v>
      </c>
      <c r="H15" s="7" t="n">
        <v>5.8</v>
      </c>
      <c r="I15" s="8" t="n">
        <f aca="false">IF(OR(G15="",H15=""),"",G15*1000*H15)</f>
        <v>4930000</v>
      </c>
    </row>
    <row r="16" customFormat="false" ht="15" hidden="false" customHeight="false" outlineLevel="0" collapsed="false">
      <c r="A16" s="4" t="n">
        <v>2026</v>
      </c>
      <c r="B16" s="5" t="s">
        <v>31</v>
      </c>
      <c r="C16" s="5" t="s">
        <v>32</v>
      </c>
      <c r="D16" s="5" t="s">
        <v>33</v>
      </c>
      <c r="E16" s="5" t="s">
        <v>34</v>
      </c>
      <c r="F16" s="5" t="s">
        <v>36</v>
      </c>
      <c r="G16" s="6" t="n">
        <v>320</v>
      </c>
      <c r="H16" s="7" t="n">
        <v>5.5</v>
      </c>
      <c r="I16" s="8" t="n">
        <f aca="false">IF(OR(G16="",H16=""),"",G16*1000*H16)</f>
        <v>1760000</v>
      </c>
    </row>
    <row r="17" customFormat="false" ht="15" hidden="false" customHeight="false" outlineLevel="0" collapsed="false">
      <c r="A17" s="4" t="n">
        <v>2026</v>
      </c>
      <c r="B17" s="5" t="s">
        <v>31</v>
      </c>
      <c r="C17" s="5" t="s">
        <v>32</v>
      </c>
      <c r="D17" s="5" t="s">
        <v>33</v>
      </c>
      <c r="E17" s="5" t="s">
        <v>34</v>
      </c>
      <c r="F17" s="5" t="s">
        <v>37</v>
      </c>
      <c r="G17" s="6" t="n">
        <v>130</v>
      </c>
      <c r="H17" s="7" t="n">
        <v>5.3</v>
      </c>
      <c r="I17" s="8" t="n">
        <f aca="false">IF(OR(G17="",H17=""),"",G17*1000*H17)</f>
        <v>689000</v>
      </c>
    </row>
    <row r="18" customFormat="false" ht="15" hidden="false" customHeight="false" outlineLevel="0" collapsed="false">
      <c r="A18" s="4" t="n">
        <v>2026</v>
      </c>
      <c r="B18" s="5" t="s">
        <v>31</v>
      </c>
      <c r="C18" s="5" t="s">
        <v>32</v>
      </c>
      <c r="D18" s="5" t="s">
        <v>38</v>
      </c>
      <c r="E18" s="5" t="s">
        <v>34</v>
      </c>
      <c r="F18" s="5" t="s">
        <v>38</v>
      </c>
      <c r="G18" s="6" t="n">
        <v>100</v>
      </c>
      <c r="H18" s="7" t="n">
        <v>3.3</v>
      </c>
      <c r="I18" s="8" t="n">
        <f aca="false">IF(OR(G18="",H18=""),"",G18*1000*H18)</f>
        <v>330000</v>
      </c>
    </row>
    <row r="19" customFormat="false" ht="15" hidden="false" customHeight="false" outlineLevel="0" collapsed="false">
      <c r="A19" s="4" t="n">
        <v>2026</v>
      </c>
      <c r="B19" s="5" t="s">
        <v>31</v>
      </c>
      <c r="C19" s="5" t="s">
        <v>32</v>
      </c>
      <c r="D19" s="5" t="s">
        <v>38</v>
      </c>
      <c r="E19" s="5" t="s">
        <v>39</v>
      </c>
      <c r="F19" s="5" t="s">
        <v>38</v>
      </c>
      <c r="G19" s="6" t="n">
        <v>165</v>
      </c>
      <c r="H19" s="7" t="n">
        <v>1.85</v>
      </c>
      <c r="I19" s="8" t="n">
        <f aca="false">IF(OR(G19="",H19=""),"",G19*1000*H19)</f>
        <v>305250</v>
      </c>
    </row>
    <row r="20" customFormat="false" ht="15" hidden="false" customHeight="false" outlineLevel="0" collapsed="false">
      <c r="A20" s="4" t="n">
        <v>2026</v>
      </c>
      <c r="B20" s="5" t="s">
        <v>31</v>
      </c>
      <c r="C20" s="5" t="s">
        <v>40</v>
      </c>
      <c r="D20" s="5" t="s">
        <v>33</v>
      </c>
      <c r="E20" s="5" t="s">
        <v>34</v>
      </c>
      <c r="F20" s="5" t="s">
        <v>35</v>
      </c>
      <c r="G20" s="6" t="n">
        <v>4200</v>
      </c>
      <c r="H20" s="7" t="n">
        <v>0.62</v>
      </c>
      <c r="I20" s="8" t="n">
        <f aca="false">IF(OR(G20="",H20=""),"",G20*1000*H20)</f>
        <v>2604000</v>
      </c>
    </row>
    <row r="21" customFormat="false" ht="15" hidden="false" customHeight="false" outlineLevel="0" collapsed="false">
      <c r="A21" s="4" t="n">
        <v>2026</v>
      </c>
      <c r="B21" s="5" t="s">
        <v>31</v>
      </c>
      <c r="C21" s="5" t="s">
        <v>40</v>
      </c>
      <c r="D21" s="5" t="s">
        <v>33</v>
      </c>
      <c r="E21" s="5" t="s">
        <v>34</v>
      </c>
      <c r="F21" s="5" t="s">
        <v>41</v>
      </c>
      <c r="G21" s="6" t="n">
        <v>2400</v>
      </c>
      <c r="H21" s="7" t="n">
        <v>0.56</v>
      </c>
      <c r="I21" s="8" t="n">
        <f aca="false">IF(OR(G21="",H21=""),"",G21*1000*H21)</f>
        <v>1344000</v>
      </c>
    </row>
    <row r="22" customFormat="false" ht="15" hidden="false" customHeight="false" outlineLevel="0" collapsed="false">
      <c r="A22" s="4" t="n">
        <v>2026</v>
      </c>
      <c r="B22" s="5" t="s">
        <v>31</v>
      </c>
      <c r="C22" s="5" t="s">
        <v>40</v>
      </c>
      <c r="D22" s="5" t="s">
        <v>33</v>
      </c>
      <c r="E22" s="5" t="s">
        <v>34</v>
      </c>
      <c r="F22" s="5" t="s">
        <v>36</v>
      </c>
      <c r="G22" s="6" t="n">
        <v>4500</v>
      </c>
      <c r="H22" s="7" t="n">
        <v>0.65</v>
      </c>
      <c r="I22" s="8" t="n">
        <f aca="false">IF(OR(G22="",H22=""),"",G22*1000*H22)</f>
        <v>2925000</v>
      </c>
    </row>
    <row r="23" customFormat="false" ht="15" hidden="false" customHeight="false" outlineLevel="0" collapsed="false">
      <c r="A23" s="4" t="n">
        <v>2026</v>
      </c>
      <c r="B23" s="5" t="s">
        <v>31</v>
      </c>
      <c r="C23" s="5" t="s">
        <v>40</v>
      </c>
      <c r="D23" s="5" t="s">
        <v>33</v>
      </c>
      <c r="E23" s="5" t="s">
        <v>34</v>
      </c>
      <c r="F23" s="5" t="s">
        <v>37</v>
      </c>
      <c r="G23" s="6" t="n">
        <v>1600</v>
      </c>
      <c r="H23" s="7" t="n">
        <v>0.59</v>
      </c>
      <c r="I23" s="8" t="n">
        <f aca="false">IF(OR(G23="",H23=""),"",G23*1000*H23)</f>
        <v>944000</v>
      </c>
    </row>
    <row r="24" customFormat="false" ht="15" hidden="false" customHeight="false" outlineLevel="0" collapsed="false">
      <c r="A24" s="4" t="n">
        <v>2026</v>
      </c>
      <c r="B24" s="5" t="s">
        <v>31</v>
      </c>
      <c r="C24" s="5" t="s">
        <v>40</v>
      </c>
      <c r="D24" s="5" t="s">
        <v>38</v>
      </c>
      <c r="E24" s="5" t="s">
        <v>34</v>
      </c>
      <c r="F24" s="5" t="s">
        <v>38</v>
      </c>
      <c r="G24" s="6" t="n">
        <v>950</v>
      </c>
      <c r="H24" s="7" t="n">
        <v>0.43</v>
      </c>
      <c r="I24" s="8" t="n">
        <f aca="false">IF(OR(G24="",H24=""),"",G24*1000*H24)</f>
        <v>408500</v>
      </c>
    </row>
    <row r="25" customFormat="false" ht="15" hidden="false" customHeight="false" outlineLevel="0" collapsed="false">
      <c r="A25" s="4" t="n">
        <v>2026</v>
      </c>
      <c r="B25" s="5" t="s">
        <v>31</v>
      </c>
      <c r="C25" s="5" t="s">
        <v>40</v>
      </c>
      <c r="D25" s="5" t="s">
        <v>38</v>
      </c>
      <c r="E25" s="5" t="s">
        <v>39</v>
      </c>
      <c r="F25" s="5" t="s">
        <v>38</v>
      </c>
      <c r="G25" s="6" t="n">
        <v>3100</v>
      </c>
      <c r="H25" s="7" t="n">
        <v>0.18</v>
      </c>
      <c r="I25" s="8" t="n">
        <f aca="false">IF(OR(G25="",H25=""),"",G25*1000*H25)</f>
        <v>558000</v>
      </c>
    </row>
    <row r="26" customFormat="false" ht="15" hidden="false" customHeight="false" outlineLevel="0" collapsed="false">
      <c r="A26" s="4" t="n">
        <v>2026</v>
      </c>
      <c r="B26" s="5" t="s">
        <v>31</v>
      </c>
      <c r="C26" s="5" t="s">
        <v>42</v>
      </c>
      <c r="D26" s="5" t="s">
        <v>43</v>
      </c>
      <c r="E26" s="5" t="s">
        <v>43</v>
      </c>
      <c r="F26" s="5" t="s">
        <v>43</v>
      </c>
      <c r="G26" s="6" t="n">
        <v>35100</v>
      </c>
      <c r="H26" s="7" t="n">
        <v>0.04</v>
      </c>
      <c r="I26" s="8" t="n">
        <f aca="false">IF(OR(G26="",H26=""),"",G26*1000*H26)</f>
        <v>1404000</v>
      </c>
    </row>
    <row r="27" customFormat="false" ht="15" hidden="false" customHeight="false" outlineLevel="0" collapsed="false">
      <c r="A27" s="4" t="n">
        <v>2026</v>
      </c>
      <c r="B27" s="5" t="s">
        <v>44</v>
      </c>
      <c r="C27" s="5" t="s">
        <v>45</v>
      </c>
      <c r="D27" s="5" t="s">
        <v>43</v>
      </c>
      <c r="E27" s="5" t="s">
        <v>43</v>
      </c>
      <c r="F27" s="5" t="s">
        <v>43</v>
      </c>
      <c r="G27" s="9"/>
      <c r="H27" s="9"/>
      <c r="I27" s="10" t="n">
        <v>310000</v>
      </c>
    </row>
  </sheetData>
  <dataValidations count="5">
    <dataValidation allowBlank="false" errorStyle="stop" operator="between" showDropDown="false" showErrorMessage="false" showInputMessage="false" sqref="B2:B500" type="list">
      <formula1>"Early Crop,Greenpack"</formula1>
      <formula2>0</formula2>
    </dataValidation>
    <dataValidation allowBlank="false" errorStyle="stop" operator="between" showDropDown="false" showErrorMessage="false" showInputMessage="false" sqref="C2:C500" type="list">
      <formula1>"arandano,limon,cana,empaque"</formula1>
      <formula2>0</formula2>
    </dataValidation>
    <dataValidation allowBlank="false" errorStyle="stop" operator="between" showDropDown="false" showErrorMessage="false" showInputMessage="false" sqref="D2:D500" type="list">
      <formula1>"exportacion,mercado interno,—"</formula1>
      <formula2>0</formula2>
    </dataValidation>
    <dataValidation allowBlank="false" errorStyle="stop" operator="between" showDropDown="false" showErrorMessage="false" showInputMessage="false" sqref="E2:E500" type="list">
      <formula1>"fresco,industria,—"</formula1>
      <formula2>0</formula2>
    </dataValidation>
    <dataValidation allowBlank="false" errorStyle="stop" operator="between" showDropDown="false" showErrorMessage="false" showInputMessage="false" sqref="F2:F500" type="list">
      <formula1>"USA,Rusia,Europa UE,Europa No-UE,mercado interno,—"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2026-04-27T15:21:03Z</dcterms:created>
  <dc:creator>openpyxl</dc:creator>
  <dc:description/>
  <dc:language>en-US</dc:language>
  <cp:lastModifiedBy/>
  <dcterms:modified xsi:type="dcterms:W3CDTF">2026-04-27T15:21:03Z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