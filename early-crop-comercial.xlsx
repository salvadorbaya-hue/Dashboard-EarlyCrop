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aya\Documents\Dashbboards EC\"/>
    </mc:Choice>
  </mc:AlternateContent>
  <bookViews>
    <workbookView xWindow="0" yWindow="0" windowWidth="23040" windowHeight="8496" tabRatio="500" activeTab="1"/>
  </bookViews>
  <sheets>
    <sheet name="Instrucciones" sheetId="1" r:id="rId1"/>
    <sheet name="Ingresos" sheetId="2" r:id="rId2"/>
    <sheet name="Proyeccion" sheetId="3" r:id="rId3"/>
  </sheets>
  <calcPr calcId="162913" iterateDelta="1E-4"/>
</workbook>
</file>

<file path=xl/calcChain.xml><?xml version="1.0" encoding="utf-8"?>
<calcChain xmlns="http://schemas.openxmlformats.org/spreadsheetml/2006/main">
  <c r="L10" i="3" l="1"/>
  <c r="K10" i="3"/>
  <c r="J10" i="3"/>
  <c r="I10" i="3"/>
  <c r="H10" i="3"/>
  <c r="G10" i="3"/>
  <c r="F10" i="3"/>
  <c r="E10" i="3"/>
  <c r="D10" i="3"/>
  <c r="C10" i="3"/>
  <c r="B10" i="3"/>
  <c r="I20" i="2"/>
  <c r="I19" i="2"/>
  <c r="I18" i="2"/>
  <c r="I17" i="2"/>
  <c r="I16" i="2"/>
  <c r="I15" i="2"/>
  <c r="I14" i="2"/>
  <c r="I13" i="2"/>
  <c r="I12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<sst xmlns="http://schemas.openxmlformats.org/spreadsheetml/2006/main" count="152" uniqueCount="67">
  <si>
    <t>Panel Early Crop — Comercial</t>
  </si>
  <si>
    <t>Este archivo contiene los datos de comercialización del grupo Early Crop.</t>
  </si>
  <si>
    <t>Hojas:</t>
  </si>
  <si>
    <t xml:space="preserve">  • Ingresos — Una fila por combinación de año, entidad, cultivo, canal, tipo y mercado.</t>
  </si>
  <si>
    <t>Cómo cargar:</t>
  </si>
  <si>
    <t xml:space="preserve">  1. Cargar año, entidad, cultivo, canal, tipo, mercado, kg_miles y precio_kg_usd.</t>
  </si>
  <si>
    <t xml:space="preserve">  2. La columna ingreso_usd se calcula automáticamente (kg × 1.000 × precio).</t>
  </si>
  <si>
    <t xml:space="preserve">  3. Para empaque y caña no aplica tipo ni mercado: dejar vacíos o usar "—".</t>
  </si>
  <si>
    <t>Convenciones:</t>
  </si>
  <si>
    <t xml:space="preserve">  • Valores monetarios en USD.</t>
  </si>
  <si>
    <t xml:space="preserve">  • kg_miles en miles de kg (ej. 850 = 850.000 kg).</t>
  </si>
  <si>
    <t xml:space="preserve">  • precio_kg_usd en USD por kg (ej. 5.80).</t>
  </si>
  <si>
    <t xml:space="preserve">  • Celdas en azul son inputs (cargar manualmente).</t>
  </si>
  <si>
    <t xml:space="preserve">  • Celdas en negro son fórmulas (calculadas).</t>
  </si>
  <si>
    <t>Cómo agregar un año nuevo:</t>
  </si>
  <si>
    <t xml:space="preserve">  Simplemente agregar filas con el año correspondiente. El panel detecta los años automáticamente.</t>
  </si>
  <si>
    <t>Validaciones activas:</t>
  </si>
  <si>
    <t xml:space="preserve">  • entidad: Early Crop / Greenpack</t>
  </si>
  <si>
    <t xml:space="preserve">  • cultivo: arandano / limon / cana / empaque</t>
  </si>
  <si>
    <t xml:space="preserve">  • canal: exportacion / mercado interno / —</t>
  </si>
  <si>
    <t xml:space="preserve">  • tipo: fresco / industria / —</t>
  </si>
  <si>
    <t xml:space="preserve">  • mercado: USA / Rusia / Europa UE / Europa No-UE / mercado interno / —</t>
  </si>
  <si>
    <t xml:space="preserve">  • Proyeccion — Ingresos proyectados por cultivo 2026–2036. Base real 2026 + tasas editables.</t>
  </si>
  <si>
    <t>año</t>
  </si>
  <si>
    <t>entidad</t>
  </si>
  <si>
    <t>cultivo</t>
  </si>
  <si>
    <t>canal</t>
  </si>
  <si>
    <t>tipo</t>
  </si>
  <si>
    <t>mercado</t>
  </si>
  <si>
    <t>kg_miles</t>
  </si>
  <si>
    <t>precio_kg_usd</t>
  </si>
  <si>
    <t>ingreso_usd</t>
  </si>
  <si>
    <t>Early Crop</t>
  </si>
  <si>
    <t>arandano</t>
  </si>
  <si>
    <t>exportacion</t>
  </si>
  <si>
    <t>industria</t>
  </si>
  <si>
    <t>Europa</t>
  </si>
  <si>
    <t>fresco</t>
  </si>
  <si>
    <t>mercado interno</t>
  </si>
  <si>
    <t>limon</t>
  </si>
  <si>
    <t>USA</t>
  </si>
  <si>
    <t>Europa UE</t>
  </si>
  <si>
    <t>Europa No-UE</t>
  </si>
  <si>
    <t>cana</t>
  </si>
  <si>
    <t>—</t>
  </si>
  <si>
    <t>Greenpack</t>
  </si>
  <si>
    <t>empaque</t>
  </si>
  <si>
    <t>Panel Early Crop — Proyección Comercial</t>
  </si>
  <si>
    <t>Ingresos proyectados por cultivo · USD · Base: datos reales 2026 + tasas de crecimiento estimadas</t>
  </si>
  <si>
    <t>NOTA: Columna 2026 = dato real (no editar). Columnas 2027-2036 = proyección (editar libremente).</t>
  </si>
  <si>
    <t>Cultivo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</si>
  <si>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</si>
  <si>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</si>
  <si>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</si>
  <si>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</si>
  <si>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</si>
  <si>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</si>
  <si>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</si>
  <si>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</si>
  <si>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</si>
  <si>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</si>
  <si>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</si>
  <si>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Arándano</t>
  </si>
  <si>
    <t>Limón</t>
  </si>
  <si>
    <t>Caña de azúcar</t>
  </si>
  <si>
    <t>Empaque (Greenpack)</t>
  </si>
  <si>
    <t>TOTAL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</si>
</sst>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.000"/>
    <numFmt numFmtId="165" formatCode="\$#,##0"/>
    <numFmt numFmtId="166" formatCode="#,##0.0"/>
  </numFmts>
  <fonts count="13" x14ac:knownFonts="1">
    <font>
      <sz val="11"/>
      <color theme="1"/>
      <name val="Calibri"/>
      <family val="2"/>
      <charset val="1"/>
    </font>
    <font>
      <b/>
      <sz val="16"/>
      <color rgb="FF1F3A66"/>
      <name val="Calibri"/>
      <charset val="1"/>
    </font>
    <font>
      <sz val="11"/>
      <color rgb="FF333333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b/>
      <sz val="13"/>
      <name val="Calibri"/>
    </font>
    <font>
      <sz val="9"/>
      <color rgb="FF8A918F"/>
      <name val="Calibri"/>
    </font>
    <font>
      <i/>
      <sz val="9"/>
      <color rgb="FFC14A3E"/>
      <name val="Calibri"/>
    </font>
    <font>
      <b/>
      <sz val="10"/>
      <color rgb="FFFFFFFF"/>
      <name val="Calibri"/>
    </font>
    <font>
      <sz val="10"/>
      <color rgb="FF0E1514"/>
      <name val="Calibri"/>
    </font>
    <font>
      <i/>
      <sz val="10"/>
      <color rgb="FF1D5C1E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A66"/>
        <bgColor rgb="FF333399"/>
      </patternFill>
    </fill>
    <fill>
      <patternFill patternType="solid">
        <fgColor rgb="FF1D7A7C"/>
      </patternFill>
    </fill>
    <fill>
      <patternFill patternType="solid">
        <fgColor rgb="FFF7F7F4"/>
      </patternFill>
    </fill>
    <fill>
      <patternFill patternType="solid">
        <fgColor rgb="FFE8F5E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0" fillId="0" borderId="0" xfId="0" applyNumberFormat="1"/>
    <xf numFmtId="165" fontId="0" fillId="0" borderId="0" xfId="0" applyNumberFormat="1"/>
    <xf numFmtId="0" fontId="12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3" fontId="11" fillId="5" borderId="2" xfId="0" applyNumberFormat="1" applyFont="1" applyFill="1" applyBorder="1" applyAlignment="1">
      <alignment horizontal="right"/>
    </xf>
    <xf numFmtId="3" fontId="12" fillId="4" borderId="2" xfId="0" applyNumberFormat="1" applyFont="1" applyFill="1" applyBorder="1" applyAlignment="1">
      <alignment horizontal="right"/>
    </xf>
    <xf numFmtId="0" fontId="10" fillId="6" borderId="2" xfId="0" applyFont="1" applyFill="1" applyBorder="1" applyAlignment="1">
      <alignment horizontal="left" vertical="center"/>
    </xf>
    <xf numFmtId="3" fontId="12" fillId="6" borderId="2" xfId="0" applyNumberFormat="1" applyFont="1" applyFill="1" applyBorder="1" applyAlignment="1">
      <alignment horizontal="right"/>
    </xf>
    <xf numFmtId="0" fontId="9" fillId="3" borderId="2" xfId="0" applyFont="1" applyFill="1" applyBorder="1" applyAlignment="1">
      <alignment horizontal="left" vertical="center"/>
    </xf>
    <xf numFmtId="3" fontId="9" fillId="3" borderId="2" xfId="0" applyNumberFormat="1" applyFont="1" applyFill="1" applyBorder="1" applyAlignment="1">
      <alignment horizontal="right"/>
    </xf>
    <xf numFmtId="0" fontId="1" fillId="0" borderId="0" xfId="0" applyFont="1"/>
    <xf numFmtId="0" fontId="0" fillId="0" borderId="0" xfId="0"/>
    <xf numFmtId="0" fontId="8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zoomScaleNormal="100" workbookViewId="0"/>
  </sheetViews>
  <sheetFormatPr baseColWidth="10" defaultColWidth="8.6640625" defaultRowHeight="14.4" x14ac:dyDescent="0.3"/>
  <cols>
    <col min="1" max="1" width="90" customWidth="1"/>
  </cols>
  <sheetData>
    <row r="1" spans="1:6" ht="21" customHeight="1" x14ac:dyDescent="0.4">
      <c r="A1" s="21" t="s">
        <v>0</v>
      </c>
      <c r="B1" s="22"/>
      <c r="C1" s="22"/>
      <c r="D1" s="22"/>
      <c r="E1" s="22"/>
      <c r="F1" s="22"/>
    </row>
    <row r="2" spans="1:6" x14ac:dyDescent="0.3">
      <c r="A2" s="1"/>
    </row>
    <row r="3" spans="1:6" x14ac:dyDescent="0.3">
      <c r="A3" s="1" t="s">
        <v>1</v>
      </c>
    </row>
    <row r="4" spans="1:6" x14ac:dyDescent="0.3">
      <c r="A4" s="1"/>
    </row>
    <row r="5" spans="1:6" x14ac:dyDescent="0.3">
      <c r="A5" s="1" t="s">
        <v>2</v>
      </c>
    </row>
    <row r="6" spans="1:6" x14ac:dyDescent="0.3">
      <c r="A6" s="1" t="s">
        <v>3</v>
      </c>
    </row>
    <row r="7" spans="1:6" x14ac:dyDescent="0.3">
      <c r="A7" s="1"/>
    </row>
    <row r="8" spans="1:6" x14ac:dyDescent="0.3">
      <c r="A8" s="1" t="s">
        <v>4</v>
      </c>
    </row>
    <row r="9" spans="1:6" x14ac:dyDescent="0.3">
      <c r="A9" s="1" t="s">
        <v>5</v>
      </c>
    </row>
    <row r="10" spans="1:6" x14ac:dyDescent="0.3">
      <c r="A10" s="1" t="s">
        <v>6</v>
      </c>
    </row>
    <row r="11" spans="1:6" x14ac:dyDescent="0.3">
      <c r="A11" s="1" t="s">
        <v>7</v>
      </c>
    </row>
    <row r="12" spans="1:6" x14ac:dyDescent="0.3">
      <c r="A12" s="1"/>
    </row>
    <row r="13" spans="1:6" x14ac:dyDescent="0.3">
      <c r="A13" s="1" t="s">
        <v>8</v>
      </c>
    </row>
    <row r="14" spans="1:6" x14ac:dyDescent="0.3">
      <c r="A14" s="1" t="s">
        <v>9</v>
      </c>
    </row>
    <row r="15" spans="1:6" x14ac:dyDescent="0.3">
      <c r="A15" s="1" t="s">
        <v>10</v>
      </c>
    </row>
    <row r="16" spans="1:6" x14ac:dyDescent="0.3">
      <c r="A16" s="1" t="s">
        <v>11</v>
      </c>
    </row>
    <row r="17" spans="1:1" x14ac:dyDescent="0.3">
      <c r="A17" s="1" t="s">
        <v>12</v>
      </c>
    </row>
    <row r="18" spans="1:1" x14ac:dyDescent="0.3">
      <c r="A18" s="1" t="s">
        <v>13</v>
      </c>
    </row>
    <row r="19" spans="1:1" x14ac:dyDescent="0.3">
      <c r="A19" s="1"/>
    </row>
    <row r="20" spans="1:1" x14ac:dyDescent="0.3">
      <c r="A20" s="1" t="s">
        <v>14</v>
      </c>
    </row>
    <row r="21" spans="1:1" x14ac:dyDescent="0.3">
      <c r="A21" s="1" t="s">
        <v>15</v>
      </c>
    </row>
    <row r="22" spans="1:1" x14ac:dyDescent="0.3">
      <c r="A22" s="1"/>
    </row>
    <row r="23" spans="1:1" x14ac:dyDescent="0.3">
      <c r="A23" s="1" t="s">
        <v>16</v>
      </c>
    </row>
    <row r="24" spans="1:1" x14ac:dyDescent="0.3">
      <c r="A24" s="1" t="s">
        <v>17</v>
      </c>
    </row>
    <row r="25" spans="1:1" x14ac:dyDescent="0.3">
      <c r="A25" s="1" t="s">
        <v>18</v>
      </c>
    </row>
    <row r="26" spans="1:1" x14ac:dyDescent="0.3">
      <c r="A26" s="1" t="s">
        <v>19</v>
      </c>
    </row>
    <row r="27" spans="1:1" x14ac:dyDescent="0.3">
      <c r="A27" s="1" t="s">
        <v>20</v>
      </c>
    </row>
    <row r="28" spans="1:1" x14ac:dyDescent="0.3">
      <c r="A28" s="1" t="s">
        <v>21</v>
      </c>
    </row>
    <row r="30" spans="1:1" x14ac:dyDescent="0.3">
      <c r="A30" s="12" t="s">
        <v>22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Normal="100" workbookViewId="0">
      <pane ySplit="1" topLeftCell="A2" activePane="bottomLeft" state="frozen"/>
      <selection pane="bottomLeft" activeCell="K13" sqref="K13:K14"/>
    </sheetView>
  </sheetViews>
  <sheetFormatPr baseColWidth="10" defaultColWidth="8.6640625" defaultRowHeight="14.4" x14ac:dyDescent="0.3"/>
  <cols>
    <col min="1" max="1" width="8" customWidth="1"/>
    <col min="2" max="2" width="13" customWidth="1"/>
    <col min="3" max="3" width="11" customWidth="1"/>
    <col min="4" max="4" width="16" customWidth="1"/>
    <col min="5" max="5" width="11" customWidth="1"/>
    <col min="6" max="6" width="17" customWidth="1"/>
    <col min="7" max="7" width="11" customWidth="1"/>
    <col min="8" max="9" width="14" customWidth="1"/>
    <col min="11" max="11" width="10.109375" bestFit="1" customWidth="1"/>
  </cols>
  <sheetData>
    <row r="1" spans="1:12" x14ac:dyDescent="0.3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31</v>
      </c>
    </row>
    <row r="2" spans="1:12" x14ac:dyDescent="0.3">
      <c r="A2" s="3">
        <v>2025</v>
      </c>
      <c r="B2" s="4" t="s">
        <v>32</v>
      </c>
      <c r="C2" s="4" t="s">
        <v>33</v>
      </c>
      <c r="D2" s="4" t="s">
        <v>34</v>
      </c>
      <c r="E2" s="4" t="s">
        <v>35</v>
      </c>
      <c r="F2" s="4" t="s">
        <v>36</v>
      </c>
      <c r="G2" s="9">
        <v>95.9</v>
      </c>
      <c r="H2" s="5">
        <v>3.55</v>
      </c>
      <c r="I2" s="6">
        <f t="shared" ref="I2:I10" si="0">IF(OR(G2="",H2=""),"",G2*1000*H2)</f>
        <v>340445</v>
      </c>
    </row>
    <row r="3" spans="1:12" x14ac:dyDescent="0.3">
      <c r="A3" s="3">
        <v>2025</v>
      </c>
      <c r="B3" s="4" t="s">
        <v>32</v>
      </c>
      <c r="C3" s="4" t="s">
        <v>33</v>
      </c>
      <c r="D3" s="4" t="s">
        <v>34</v>
      </c>
      <c r="E3" s="4" t="s">
        <v>37</v>
      </c>
      <c r="F3" s="4" t="s">
        <v>36</v>
      </c>
      <c r="G3" s="9">
        <v>1185.4000000000001</v>
      </c>
      <c r="H3" s="5">
        <v>6.730808576851695</v>
      </c>
      <c r="I3" s="6">
        <f t="shared" si="0"/>
        <v>7978700.4869999988</v>
      </c>
    </row>
    <row r="4" spans="1:12" x14ac:dyDescent="0.3">
      <c r="A4" s="3">
        <v>2025</v>
      </c>
      <c r="B4" s="4" t="s">
        <v>32</v>
      </c>
      <c r="C4" s="4" t="s">
        <v>33</v>
      </c>
      <c r="D4" s="4" t="s">
        <v>38</v>
      </c>
      <c r="E4" s="4" t="s">
        <v>37</v>
      </c>
      <c r="F4" s="4" t="s">
        <v>38</v>
      </c>
      <c r="G4" s="9">
        <v>127.14749999999999</v>
      </c>
      <c r="H4" s="5">
        <v>9.75</v>
      </c>
      <c r="I4" s="6">
        <f t="shared" si="0"/>
        <v>1239688.125</v>
      </c>
    </row>
    <row r="5" spans="1:12" x14ac:dyDescent="0.3">
      <c r="A5" s="3">
        <v>2025</v>
      </c>
      <c r="B5" s="4" t="s">
        <v>32</v>
      </c>
      <c r="C5" s="4" t="s">
        <v>33</v>
      </c>
      <c r="D5" s="4" t="s">
        <v>38</v>
      </c>
      <c r="E5" s="4" t="s">
        <v>35</v>
      </c>
      <c r="F5" s="4" t="s">
        <v>38</v>
      </c>
      <c r="G5" s="9">
        <v>349.6</v>
      </c>
      <c r="H5" s="5">
        <v>2.75095908538824</v>
      </c>
      <c r="I5" s="6">
        <f t="shared" si="0"/>
        <v>961735.29625172867</v>
      </c>
    </row>
    <row r="6" spans="1:12" x14ac:dyDescent="0.3">
      <c r="A6" s="3">
        <v>2025</v>
      </c>
      <c r="B6" s="4" t="s">
        <v>32</v>
      </c>
      <c r="C6" s="4" t="s">
        <v>39</v>
      </c>
      <c r="D6" s="4" t="s">
        <v>34</v>
      </c>
      <c r="E6" s="4" t="s">
        <v>37</v>
      </c>
      <c r="F6" s="4" t="s">
        <v>40</v>
      </c>
      <c r="G6" s="9">
        <v>1347.84</v>
      </c>
      <c r="H6" s="5">
        <v>1.0080119005223169</v>
      </c>
      <c r="I6" s="6">
        <f t="shared" si="0"/>
        <v>1358638.7599999995</v>
      </c>
      <c r="K6" s="11"/>
      <c r="L6" s="10"/>
    </row>
    <row r="7" spans="1:12" x14ac:dyDescent="0.3">
      <c r="A7" s="3">
        <v>2025</v>
      </c>
      <c r="B7" s="4" t="s">
        <v>32</v>
      </c>
      <c r="C7" s="4" t="s">
        <v>39</v>
      </c>
      <c r="D7" s="4" t="s">
        <v>34</v>
      </c>
      <c r="E7" s="4" t="s">
        <v>37</v>
      </c>
      <c r="F7" s="4" t="s">
        <v>41</v>
      </c>
      <c r="G7" s="9">
        <v>2171.7719999999999</v>
      </c>
      <c r="H7" s="5">
        <v>1.070785630351621</v>
      </c>
      <c r="I7" s="6">
        <f t="shared" si="0"/>
        <v>2325502.2500000005</v>
      </c>
    </row>
    <row r="8" spans="1:12" x14ac:dyDescent="0.3">
      <c r="A8" s="3">
        <v>2025</v>
      </c>
      <c r="B8" s="4" t="s">
        <v>32</v>
      </c>
      <c r="C8" s="4" t="s">
        <v>39</v>
      </c>
      <c r="D8" s="4" t="s">
        <v>34</v>
      </c>
      <c r="E8" s="4" t="s">
        <v>37</v>
      </c>
      <c r="F8" s="4" t="s">
        <v>42</v>
      </c>
      <c r="G8" s="9">
        <v>2940.828</v>
      </c>
      <c r="H8" s="5">
        <v>0.85771138944542147</v>
      </c>
      <c r="I8" s="6">
        <f t="shared" si="0"/>
        <v>2522381.67</v>
      </c>
    </row>
    <row r="9" spans="1:12" x14ac:dyDescent="0.3">
      <c r="A9" s="3">
        <v>2025</v>
      </c>
      <c r="B9" s="4" t="s">
        <v>32</v>
      </c>
      <c r="C9" s="4" t="s">
        <v>39</v>
      </c>
      <c r="D9" s="4" t="s">
        <v>38</v>
      </c>
      <c r="E9" s="4" t="s">
        <v>35</v>
      </c>
      <c r="F9" s="4" t="s">
        <v>38</v>
      </c>
      <c r="G9" s="9">
        <v>5767.8</v>
      </c>
      <c r="H9" s="5">
        <v>0.1356</v>
      </c>
      <c r="I9" s="6">
        <f t="shared" si="0"/>
        <v>782113.67999999993</v>
      </c>
    </row>
    <row r="10" spans="1:12" x14ac:dyDescent="0.3">
      <c r="A10" s="3">
        <v>2025</v>
      </c>
      <c r="B10" s="4" t="s">
        <v>32</v>
      </c>
      <c r="C10" s="4" t="s">
        <v>43</v>
      </c>
      <c r="D10" s="4" t="s">
        <v>44</v>
      </c>
      <c r="E10" s="4" t="s">
        <v>44</v>
      </c>
      <c r="F10" s="4" t="s">
        <v>44</v>
      </c>
      <c r="G10" s="9"/>
      <c r="H10" s="5"/>
      <c r="I10" s="6" t="str">
        <f t="shared" si="0"/>
        <v/>
      </c>
    </row>
    <row r="11" spans="1:12" x14ac:dyDescent="0.3">
      <c r="A11" s="3">
        <v>2025</v>
      </c>
      <c r="B11" s="4" t="s">
        <v>45</v>
      </c>
      <c r="C11" s="4" t="s">
        <v>46</v>
      </c>
      <c r="D11" s="4" t="s">
        <v>44</v>
      </c>
      <c r="E11" s="4" t="s">
        <v>44</v>
      </c>
      <c r="F11" s="4" t="s">
        <v>44</v>
      </c>
      <c r="G11" s="9"/>
      <c r="H11" s="7"/>
      <c r="I11" s="8">
        <v>1161700</v>
      </c>
    </row>
    <row r="12" spans="1:12" x14ac:dyDescent="0.3">
      <c r="A12" s="3">
        <v>2026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36</v>
      </c>
      <c r="G12" s="9">
        <v>135</v>
      </c>
      <c r="H12" s="5">
        <v>2.8</v>
      </c>
      <c r="I12" s="6">
        <f t="shared" ref="I12:I20" si="1">IF(OR(G12="",H12=""),"",G12*1000*H12)</f>
        <v>378000</v>
      </c>
    </row>
    <row r="13" spans="1:12" x14ac:dyDescent="0.3">
      <c r="A13" s="3">
        <v>2026</v>
      </c>
      <c r="B13" s="4" t="s">
        <v>32</v>
      </c>
      <c r="C13" s="4" t="s">
        <v>33</v>
      </c>
      <c r="D13" s="4" t="s">
        <v>34</v>
      </c>
      <c r="E13" s="4" t="s">
        <v>37</v>
      </c>
      <c r="F13" s="4" t="s">
        <v>36</v>
      </c>
      <c r="G13" s="9">
        <v>1091.5999999999999</v>
      </c>
      <c r="H13" s="5">
        <v>7.4588677171124962</v>
      </c>
      <c r="I13" s="6">
        <f t="shared" si="1"/>
        <v>8142100.0000000009</v>
      </c>
    </row>
    <row r="14" spans="1:12" x14ac:dyDescent="0.3">
      <c r="A14" s="3">
        <v>2026</v>
      </c>
      <c r="B14" s="4" t="s">
        <v>32</v>
      </c>
      <c r="C14" s="4" t="s">
        <v>33</v>
      </c>
      <c r="D14" s="4" t="s">
        <v>38</v>
      </c>
      <c r="E14" s="4" t="s">
        <v>37</v>
      </c>
      <c r="F14" s="4" t="s">
        <v>38</v>
      </c>
      <c r="G14" s="9">
        <v>171.4</v>
      </c>
      <c r="H14" s="5">
        <v>8.0268378063010513</v>
      </c>
      <c r="I14" s="6">
        <f t="shared" si="1"/>
        <v>1375800.0000000002</v>
      </c>
    </row>
    <row r="15" spans="1:12" x14ac:dyDescent="0.3">
      <c r="A15" s="3">
        <v>2026</v>
      </c>
      <c r="B15" s="4" t="s">
        <v>32</v>
      </c>
      <c r="C15" s="4" t="s">
        <v>33</v>
      </c>
      <c r="D15" s="4" t="s">
        <v>38</v>
      </c>
      <c r="E15" s="4" t="s">
        <v>35</v>
      </c>
      <c r="F15" s="4" t="s">
        <v>38</v>
      </c>
      <c r="G15" s="9">
        <v>402</v>
      </c>
      <c r="H15" s="5">
        <v>2.8</v>
      </c>
      <c r="I15" s="6">
        <f t="shared" si="1"/>
        <v>1125600</v>
      </c>
    </row>
    <row r="16" spans="1:12" x14ac:dyDescent="0.3">
      <c r="A16" s="3">
        <v>2026</v>
      </c>
      <c r="B16" s="4" t="s">
        <v>32</v>
      </c>
      <c r="C16" s="4" t="s">
        <v>39</v>
      </c>
      <c r="D16" s="4" t="s">
        <v>34</v>
      </c>
      <c r="E16" s="4" t="s">
        <v>37</v>
      </c>
      <c r="F16" s="4" t="s">
        <v>40</v>
      </c>
      <c r="G16" s="9">
        <v>3913.92</v>
      </c>
      <c r="H16" s="5">
        <v>0.97</v>
      </c>
      <c r="I16" s="6">
        <f t="shared" si="1"/>
        <v>3796502.4</v>
      </c>
    </row>
    <row r="17" spans="1:9" x14ac:dyDescent="0.3">
      <c r="A17" s="3">
        <v>2026</v>
      </c>
      <c r="B17" s="4" t="s">
        <v>32</v>
      </c>
      <c r="C17" s="4" t="s">
        <v>39</v>
      </c>
      <c r="D17" s="4" t="s">
        <v>34</v>
      </c>
      <c r="E17" s="4" t="s">
        <v>37</v>
      </c>
      <c r="F17" s="4" t="s">
        <v>41</v>
      </c>
      <c r="G17" s="9">
        <v>4872.96</v>
      </c>
      <c r="H17" s="5">
        <v>0.97</v>
      </c>
      <c r="I17" s="6">
        <f t="shared" si="1"/>
        <v>4726771.2</v>
      </c>
    </row>
    <row r="18" spans="1:9" x14ac:dyDescent="0.3">
      <c r="A18" s="3">
        <v>2026</v>
      </c>
      <c r="B18" s="4" t="s">
        <v>32</v>
      </c>
      <c r="C18" s="4" t="s">
        <v>39</v>
      </c>
      <c r="D18" s="4" t="s">
        <v>34</v>
      </c>
      <c r="E18" s="4" t="s">
        <v>37</v>
      </c>
      <c r="F18" s="4" t="s">
        <v>42</v>
      </c>
      <c r="G18" s="9">
        <v>4790.2079999999996</v>
      </c>
      <c r="H18" s="5">
        <v>0.97</v>
      </c>
      <c r="I18" s="6">
        <f t="shared" si="1"/>
        <v>4646501.76</v>
      </c>
    </row>
    <row r="19" spans="1:9" x14ac:dyDescent="0.3">
      <c r="A19" s="3">
        <v>2026</v>
      </c>
      <c r="B19" s="4" t="s">
        <v>32</v>
      </c>
      <c r="C19" s="4" t="s">
        <v>39</v>
      </c>
      <c r="D19" s="4" t="s">
        <v>38</v>
      </c>
      <c r="E19" s="4" t="s">
        <v>35</v>
      </c>
      <c r="F19" s="4" t="s">
        <v>38</v>
      </c>
      <c r="G19" s="9">
        <v>11540</v>
      </c>
      <c r="H19" s="5">
        <v>0.156</v>
      </c>
      <c r="I19" s="6">
        <f t="shared" si="1"/>
        <v>1800240</v>
      </c>
    </row>
    <row r="20" spans="1:9" x14ac:dyDescent="0.3">
      <c r="A20" s="3">
        <v>2026</v>
      </c>
      <c r="B20" s="4" t="s">
        <v>32</v>
      </c>
      <c r="C20" s="4" t="s">
        <v>43</v>
      </c>
      <c r="D20" s="4" t="s">
        <v>44</v>
      </c>
      <c r="E20" s="4" t="s">
        <v>44</v>
      </c>
      <c r="F20" s="4" t="s">
        <v>44</v>
      </c>
      <c r="G20" s="9"/>
      <c r="H20" s="5"/>
      <c r="I20" s="6" t="str">
        <f t="shared" si="1"/>
        <v/>
      </c>
    </row>
    <row r="21" spans="1:9" x14ac:dyDescent="0.3">
      <c r="A21" s="3">
        <v>2026</v>
      </c>
      <c r="B21" s="4" t="s">
        <v>45</v>
      </c>
      <c r="C21" s="4" t="s">
        <v>46</v>
      </c>
      <c r="D21" s="4" t="s">
        <v>44</v>
      </c>
      <c r="E21" s="4" t="s">
        <v>44</v>
      </c>
      <c r="F21" s="4" t="s">
        <v>44</v>
      </c>
      <c r="G21" s="9"/>
      <c r="H21" s="7"/>
      <c r="I21" s="8">
        <v>1973600</v>
      </c>
    </row>
  </sheetData>
  <dataValidations disablePrompts="1" count="6">
    <dataValidation type="list" sqref="F22:F494">
      <formula1>"USA,Rusia,Europa UE,Europa No-UE,mercado interno,—"</formula1>
      <formula2>0</formula2>
    </dataValidation>
    <dataValidation type="list" sqref="B2:B494">
      <formula1>"Early Crop,Greenpack"</formula1>
      <formula2>0</formula2>
    </dataValidation>
    <dataValidation type="list" sqref="C2:C494">
      <formula1>"arandano,limon,cana,empaque"</formula1>
      <formula2>0</formula2>
    </dataValidation>
    <dataValidation type="list" sqref="D2:D494">
      <formula1>"exportacion,mercado interno,—"</formula1>
      <formula2>0</formula2>
    </dataValidation>
    <dataValidation type="list" sqref="E2:E494">
      <formula1>"fresco,industria,—"</formula1>
      <formula2>0</formula2>
    </dataValidation>
    <dataValidation type="list" sqref="F2:F21">
      <formula1>"USA,Rusia,Europa UE,Europa No-UE,mercado interno,—,Europa"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4" customWidth="1"/>
    <col min="2" max="12" width="13" customWidth="1"/>
  </cols>
  <sheetData>
    <row r="1" spans="1:13" ht="17.399999999999999" x14ac:dyDescent="0.35">
      <c r="A1" s="25" t="s">
        <v>47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24" t="s">
        <v>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3" t="s">
        <v>49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5" spans="1:13" ht="19.95" customHeight="1" x14ac:dyDescent="0.3">
      <c r="A5" s="13" t="s">
        <v>50</v>
      </c>
      <c r="B5" s="13" t="s">
        <v>51</v>
      </c>
      <c r="C5" s="13" t="s">
        <v>52</v>
      </c>
      <c r="D5" s="13" t="s">
        <v>53</v>
      </c>
      <c r="E5" s="13" t="s">
        <v>54</v>
      </c>
      <c r="F5" s="13" t="s">
        <v>55</v>
      </c>
      <c r="G5" s="13" t="s">
        <v>56</v>
      </c>
      <c r="H5" s="13" t="s">
        <v>57</v>
      </c>
      <c r="I5" s="13" t="s">
        <v>58</v>
      </c>
      <c r="J5" s="13" t="s">
        <v>59</v>
      </c>
      <c r="K5" s="13" t="s">
        <v>60</v>
      </c>
      <c r="L5" s="13" t="s">
        <v>61</v>
      </c>
    </row>
    <row r="6" spans="1:13" ht="19.95" customHeight="1" x14ac:dyDescent="0.3">
      <c r="A6" s="14" t="s">
        <v>62</v>
      </c>
      <c r="B6" s="15">
        <v>11021500</v>
      </c>
      <c r="C6" s="16">
        <v>13005370</v>
      </c>
      <c r="D6" s="16">
        <v>16256712</v>
      </c>
      <c r="E6" s="16">
        <v>19833189</v>
      </c>
      <c r="F6" s="16">
        <v>22609836</v>
      </c>
      <c r="G6" s="16">
        <v>24192524</v>
      </c>
      <c r="H6" s="16">
        <v>24676375</v>
      </c>
      <c r="I6" s="16">
        <v>24676375</v>
      </c>
      <c r="J6" s="16">
        <v>24182847</v>
      </c>
      <c r="K6" s="16">
        <v>23457362</v>
      </c>
      <c r="L6" s="16">
        <v>22519067</v>
      </c>
    </row>
    <row r="7" spans="1:13" ht="19.95" customHeight="1" x14ac:dyDescent="0.3">
      <c r="A7" s="17" t="s">
        <v>63</v>
      </c>
      <c r="B7" s="15">
        <v>14970015</v>
      </c>
      <c r="C7" s="18">
        <v>15568816</v>
      </c>
      <c r="D7" s="18">
        <v>16191568</v>
      </c>
      <c r="E7" s="18">
        <v>16677315</v>
      </c>
      <c r="F7" s="18">
        <v>17177635</v>
      </c>
      <c r="G7" s="18">
        <v>17521187</v>
      </c>
      <c r="H7" s="18">
        <v>17871611</v>
      </c>
      <c r="I7" s="18">
        <v>18229043</v>
      </c>
      <c r="J7" s="18">
        <v>18593624</v>
      </c>
      <c r="K7" s="18">
        <v>18965497</v>
      </c>
      <c r="L7" s="18">
        <v>19344807</v>
      </c>
    </row>
    <row r="8" spans="1:13" ht="19.95" customHeight="1" x14ac:dyDescent="0.3">
      <c r="A8" s="14" t="s">
        <v>64</v>
      </c>
      <c r="B8" s="15">
        <v>0</v>
      </c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3" ht="19.95" customHeight="1" x14ac:dyDescent="0.3">
      <c r="A9" s="17" t="s">
        <v>65</v>
      </c>
      <c r="B9" s="15">
        <v>1973600</v>
      </c>
      <c r="C9" s="18">
        <v>2249904</v>
      </c>
      <c r="D9" s="18">
        <v>2699885</v>
      </c>
      <c r="E9" s="18">
        <v>3158865</v>
      </c>
      <c r="F9" s="18">
        <v>3506340</v>
      </c>
      <c r="G9" s="18">
        <v>3716721</v>
      </c>
      <c r="H9" s="18">
        <v>3791055</v>
      </c>
      <c r="I9" s="18">
        <v>3791055</v>
      </c>
      <c r="J9" s="18">
        <v>3753145</v>
      </c>
      <c r="K9" s="18">
        <v>3678082</v>
      </c>
      <c r="L9" s="18">
        <v>3567739</v>
      </c>
    </row>
    <row r="10" spans="1:13" ht="19.95" customHeight="1" x14ac:dyDescent="0.3">
      <c r="A10" s="19" t="s">
        <v>66</v>
      </c>
      <c r="B10" s="20">
        <f t="shared" ref="B10:L10" si="0">SUM(B6,B7,B8,B9)</f>
        <v>27965115</v>
      </c>
      <c r="C10" s="20">
        <f t="shared" si="0"/>
        <v>30824090</v>
      </c>
      <c r="D10" s="20">
        <f t="shared" si="0"/>
        <v>35148165</v>
      </c>
      <c r="E10" s="20">
        <f t="shared" si="0"/>
        <v>39669369</v>
      </c>
      <c r="F10" s="20">
        <f t="shared" si="0"/>
        <v>43293811</v>
      </c>
      <c r="G10" s="20">
        <f t="shared" si="0"/>
        <v>45430432</v>
      </c>
      <c r="H10" s="20">
        <f t="shared" si="0"/>
        <v>46339041</v>
      </c>
      <c r="I10" s="20">
        <f t="shared" si="0"/>
        <v>46696473</v>
      </c>
      <c r="J10" s="20">
        <f t="shared" si="0"/>
        <v>46529616</v>
      </c>
      <c r="K10" s="20">
        <f t="shared" si="0"/>
        <v>46100941</v>
      </c>
      <c r="L10" s="20">
        <f t="shared" si="0"/>
        <v>45431613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Ingresos</vt:lpstr>
      <vt:lpstr>Proyeccion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sbaya</cp:lastModifiedBy>
  <cp:revision>0</cp:revision>
  <dcterms:created xsi:type="dcterms:W3CDTF">2026-04-27T15:21:03Z</dcterms:created>
  <dcterms:modified xsi:type="dcterms:W3CDTF">2026-04-28T19:31:46Z</dcterms:modified>
  <dc:language>en-US</dc:language>
</cp:coreProperties>
</file>