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8496" tabRatio="500" firstSheet="0" activeTab="2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gresos" sheetId="2" state="visible" r:id="rId2"/>
    <sheet xmlns:r="http://schemas.openxmlformats.org/officeDocument/2006/relationships" name="Proyeccion" sheetId="3" state="visible" r:id="rId3"/>
  </sheets>
  <definedNames/>
  <calcPr calcId="162913" fullCalcOnLoad="1" iterateDelta="0.0001"/>
</workbook>
</file>

<file path=xl/styles.xml><?xml version="1.0" encoding="utf-8"?>
<styleSheet xmlns="http://schemas.openxmlformats.org/spreadsheetml/2006/main">
  <numFmts count="5">
    <numFmt numFmtId="164" formatCode="\$#,##0.000"/>
    <numFmt numFmtId="165" formatCode="\$#,##0"/>
    <numFmt numFmtId="166" formatCode="#,##0.0"/>
    <numFmt numFmtId="167" formatCode="0.0%"/>
    <numFmt numFmtId="168" formatCode="#,##0.000"/>
  </numFmts>
  <fonts count="22">
    <font>
      <name val="Calibri"/>
      <charset val="1"/>
      <family val="2"/>
      <color theme="1"/>
      <sz val="11"/>
    </font>
    <font>
      <name val="Calibri"/>
      <charset val="1"/>
      <b val="1"/>
      <color rgb="FF1F3A66"/>
      <sz val="16"/>
    </font>
    <font>
      <name val="Calibri"/>
      <charset val="1"/>
      <color rgb="FF333333"/>
      <sz val="11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Calibri"/>
      <b val="1"/>
      <sz val="13"/>
    </font>
    <font>
      <name val="Calibri"/>
      <color rgb="FF8A918F"/>
      <sz val="9"/>
    </font>
    <font>
      <name val="Calibri"/>
      <i val="1"/>
      <color rgb="FFC14A3E"/>
      <sz val="9"/>
    </font>
    <font>
      <name val="Calibri"/>
      <b val="1"/>
      <color rgb="FFFFFFFF"/>
      <sz val="10"/>
    </font>
    <font>
      <name val="Calibri"/>
      <color rgb="FF0E1514"/>
      <sz val="10"/>
    </font>
    <font>
      <name val="Calibri"/>
      <i val="1"/>
      <color rgb="FF1D5C1E"/>
      <sz val="10"/>
    </font>
    <font>
      <name val="Calibri"/>
      <sz val="10"/>
    </font>
    <font>
      <name val="Calibri"/>
      <b val="1"/>
      <color rgb="000E1514"/>
      <sz val="14"/>
    </font>
    <font>
      <name val="Calibri"/>
      <i val="1"/>
      <color rgb="008A918F"/>
      <sz val="9"/>
    </font>
    <font>
      <name val="Calibri"/>
      <color rgb="004A5654"/>
      <sz val="9"/>
    </font>
    <font>
      <name val="Calibri"/>
      <b val="1"/>
      <color rgb="00FFFFFF"/>
      <sz val="10"/>
    </font>
    <font>
      <name val="Calibri"/>
      <b val="1"/>
      <color rgb="000E1514"/>
      <sz val="10"/>
    </font>
    <font>
      <name val="Calibri"/>
      <color rgb="004A5654"/>
      <sz val="10"/>
    </font>
    <font>
      <name val="Calibri"/>
      <color rgb="000E1514"/>
      <sz val="10"/>
    </font>
    <font>
      <name val="Calibri"/>
      <b val="1"/>
      <color rgb="000F4A4C"/>
      <sz val="10"/>
    </font>
    <font>
      <name val="Calibri"/>
      <b val="1"/>
      <color rgb="00FFFFFF"/>
      <sz val="11"/>
    </font>
  </fonts>
  <fills count="14">
    <fill>
      <patternFill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1D7A7C"/>
      </patternFill>
    </fill>
    <fill>
      <patternFill patternType="solid">
        <fgColor rgb="FFF7F7F4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001D7A7C"/>
      </patternFill>
    </fill>
    <fill>
      <patternFill patternType="solid">
        <fgColor rgb="00EEF2FF"/>
      </patternFill>
    </fill>
    <fill>
      <patternFill patternType="solid">
        <fgColor rgb="00F0F0F0"/>
      </patternFill>
    </fill>
    <fill>
      <patternFill patternType="solid">
        <fgColor rgb="00FFFDE7"/>
      </patternFill>
    </fill>
    <fill>
      <patternFill patternType="solid">
        <fgColor rgb="00E8F4F8"/>
      </patternFill>
    </fill>
    <fill>
      <patternFill patternType="solid">
        <fgColor rgb="00F4FBE7"/>
      </patternFill>
    </fill>
    <fill>
      <patternFill patternType="solid">
        <fgColor rgb="00FEF6E4"/>
      </patternFill>
    </fill>
  </fills>
  <borders count="4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0" fillId="0" borderId="0" pivotButton="0" quotePrefix="0" xfId="0"/>
    <xf numFmtId="165" fontId="0" fillId="0" borderId="0" pivotButton="0" quotePrefix="0" xfId="0"/>
    <xf numFmtId="0" fontId="12" fillId="0" borderId="0" pivotButton="0" quotePrefix="0" xfId="0"/>
    <xf numFmtId="0" fontId="9" fillId="3" borderId="2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3" fontId="11" fillId="5" borderId="2" applyAlignment="1" pivotButton="0" quotePrefix="0" xfId="0">
      <alignment horizontal="right"/>
    </xf>
    <xf numFmtId="3" fontId="12" fillId="4" borderId="2" applyAlignment="1" pivotButton="0" quotePrefix="0" xfId="0">
      <alignment horizontal="right"/>
    </xf>
    <xf numFmtId="0" fontId="10" fillId="6" borderId="2" applyAlignment="1" pivotButton="0" quotePrefix="0" xfId="0">
      <alignment horizontal="left" vertical="center"/>
    </xf>
    <xf numFmtId="3" fontId="12" fillId="6" borderId="2" applyAlignment="1" pivotButton="0" quotePrefix="0" xfId="0">
      <alignment horizontal="right"/>
    </xf>
    <xf numFmtId="0" fontId="9" fillId="3" borderId="2" applyAlignment="1" pivotButton="0" quotePrefix="0" xfId="0">
      <alignment horizontal="left" vertical="center"/>
    </xf>
    <xf numFmtId="3" fontId="9" fillId="3" borderId="2" applyAlignment="1" pivotButton="0" quotePrefix="0" xfId="0">
      <alignment horizontal="right"/>
    </xf>
    <xf numFmtId="0" fontId="1" fillId="0" borderId="0" pivotButton="0" quotePrefix="0" xfId="0"/>
    <xf numFmtId="0" fontId="0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13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16" fillId="7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0" fontId="18" fillId="8" borderId="3" applyAlignment="1" pivotButton="0" quotePrefix="0" xfId="0">
      <alignment horizontal="left" vertical="center"/>
    </xf>
    <xf numFmtId="3" fontId="12" fillId="9" borderId="3" applyAlignment="1" pivotButton="0" quotePrefix="0" xfId="0">
      <alignment horizontal="right" vertical="center"/>
    </xf>
    <xf numFmtId="0" fontId="19" fillId="8" borderId="3" applyAlignment="1" pivotButton="0" quotePrefix="0" xfId="0">
      <alignment horizontal="left" vertical="center"/>
    </xf>
    <xf numFmtId="167" fontId="12" fillId="10" borderId="3" applyAlignment="1" pivotButton="0" quotePrefix="0" xfId="0">
      <alignment horizontal="right" vertical="center"/>
    </xf>
    <xf numFmtId="3" fontId="12" fillId="10" borderId="3" applyAlignment="1" pivotButton="0" quotePrefix="0" xfId="0">
      <alignment horizontal="right" vertical="center"/>
    </xf>
    <xf numFmtId="168" fontId="12" fillId="10" borderId="3" applyAlignment="1" pivotButton="0" quotePrefix="0" xfId="0">
      <alignment horizontal="right" vertical="center"/>
    </xf>
    <xf numFmtId="0" fontId="20" fillId="11" borderId="3" applyAlignment="1" pivotButton="0" quotePrefix="0" xfId="0">
      <alignment horizontal="left" vertical="center"/>
    </xf>
    <xf numFmtId="3" fontId="20" fillId="11" borderId="3" applyAlignment="1" pivotButton="0" quotePrefix="0" xfId="0">
      <alignment horizontal="right" vertical="center"/>
    </xf>
    <xf numFmtId="0" fontId="17" fillId="12" borderId="3" applyAlignment="1" pivotButton="0" quotePrefix="0" xfId="0">
      <alignment horizontal="left" vertical="center"/>
    </xf>
    <xf numFmtId="0" fontId="18" fillId="12" borderId="3" applyAlignment="1" pivotButton="0" quotePrefix="0" xfId="0">
      <alignment horizontal="left" vertical="center"/>
    </xf>
    <xf numFmtId="0" fontId="19" fillId="12" borderId="3" applyAlignment="1" pivotButton="0" quotePrefix="0" xfId="0">
      <alignment horizontal="left" vertical="center"/>
    </xf>
    <xf numFmtId="0" fontId="17" fillId="13" borderId="3" applyAlignment="1" pivotButton="0" quotePrefix="0" xfId="0">
      <alignment horizontal="left" vertical="center"/>
    </xf>
    <xf numFmtId="0" fontId="18" fillId="13" borderId="3" applyAlignment="1" pivotButton="0" quotePrefix="0" xfId="0">
      <alignment horizontal="left" vertical="center"/>
    </xf>
    <xf numFmtId="0" fontId="19" fillId="13" borderId="3" applyAlignment="1" pivotButton="0" quotePrefix="0" xfId="0">
      <alignment horizontal="left" vertical="center"/>
    </xf>
    <xf numFmtId="0" fontId="21" fillId="7" borderId="3" applyAlignment="1" pivotButton="0" quotePrefix="0" xfId="0">
      <alignment horizontal="center" vertical="center"/>
    </xf>
    <xf numFmtId="0" fontId="21" fillId="7" borderId="3" applyAlignment="1" pivotButton="0" quotePrefix="0" xfId="0">
      <alignment horizontal="left" vertical="center"/>
    </xf>
    <xf numFmtId="3" fontId="21" fillId="7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zoomScaleNormal="100" workbookViewId="0">
      <selection activeCell="A1" sqref="A1:F1"/>
    </sheetView>
  </sheetViews>
  <sheetFormatPr baseColWidth="10" defaultColWidth="8.6640625" defaultRowHeight="14.4"/>
  <cols>
    <col width="90" customWidth="1" style="22" min="1" max="1"/>
  </cols>
  <sheetData>
    <row r="1" ht="21" customHeight="1" s="22">
      <c r="A1" s="21" t="inlineStr">
        <is>
          <t>Panel Early Crop — Comercial</t>
        </is>
      </c>
    </row>
    <row r="2">
      <c r="A2" s="1" t="n"/>
    </row>
    <row r="3">
      <c r="A3" s="1" t="inlineStr">
        <is>
          <t>Este archivo contiene los datos de comercialización del grupo Early Crop.</t>
        </is>
      </c>
    </row>
    <row r="4">
      <c r="A4" s="1" t="n"/>
    </row>
    <row r="5">
      <c r="A5" s="1" t="inlineStr">
        <is>
          <t>Hojas:</t>
        </is>
      </c>
    </row>
    <row r="6">
      <c r="A6" s="1" t="inlineStr">
        <is>
          <t xml:space="preserve">  • Ingresos — Una fila por combinación de año, entidad, cultivo, canal, tipo y mercado.</t>
        </is>
      </c>
    </row>
    <row r="7">
      <c r="A7" s="1" t="n"/>
    </row>
    <row r="8">
      <c r="A8" s="1" t="inlineStr">
        <is>
          <t>Cómo cargar:</t>
        </is>
      </c>
    </row>
    <row r="9">
      <c r="A9" s="1" t="inlineStr">
        <is>
          <t xml:space="preserve">  1. Cargar año, entidad, cultivo, canal, tipo, mercado, kg_miles y precio_kg_usd.</t>
        </is>
      </c>
    </row>
    <row r="10">
      <c r="A10" s="1" t="inlineStr">
        <is>
          <t xml:space="preserve">  2. La columna ingreso_usd se calcula automáticamente (kg × 1.000 × precio).</t>
        </is>
      </c>
    </row>
    <row r="11">
      <c r="A11" s="1" t="inlineStr">
        <is>
          <t xml:space="preserve">  3. Para empaque y caña no aplica tipo ni mercado: dejar vacíos o usar "—".</t>
        </is>
      </c>
    </row>
    <row r="12">
      <c r="A12" s="1" t="n"/>
    </row>
    <row r="13">
      <c r="A13" s="1" t="inlineStr">
        <is>
          <t>Convenciones:</t>
        </is>
      </c>
    </row>
    <row r="14">
      <c r="A14" s="1" t="inlineStr">
        <is>
          <t xml:space="preserve">  • Valores monetarios en USD.</t>
        </is>
      </c>
    </row>
    <row r="15">
      <c r="A15" s="1" t="inlineStr">
        <is>
          <t xml:space="preserve">  • kg_miles en miles de kg (ej. 850 = 850.000 kg).</t>
        </is>
      </c>
    </row>
    <row r="16">
      <c r="A16" s="1" t="inlineStr">
        <is>
          <t xml:space="preserve">  • precio_kg_usd en USD por kg (ej. 5.80).</t>
        </is>
      </c>
    </row>
    <row r="17">
      <c r="A17" s="1" t="inlineStr">
        <is>
          <t xml:space="preserve">  • Celdas en azul son inputs (cargar manualmente).</t>
        </is>
      </c>
    </row>
    <row r="18">
      <c r="A18" s="1" t="inlineStr">
        <is>
          <t xml:space="preserve">  • Celdas en negro son fórmulas (calculadas).</t>
        </is>
      </c>
    </row>
    <row r="19">
      <c r="A19" s="1" t="n"/>
    </row>
    <row r="20">
      <c r="A20" s="1" t="inlineStr">
        <is>
          <t>Cómo agregar un año nuevo:</t>
        </is>
      </c>
    </row>
    <row r="21">
      <c r="A21" s="1" t="inlineStr">
        <is>
          <t xml:space="preserve">  Simplemente agregar filas con el año correspondiente. El panel detecta los años automáticamente.</t>
        </is>
      </c>
    </row>
    <row r="22">
      <c r="A22" s="1" t="n"/>
    </row>
    <row r="23">
      <c r="A23" s="1" t="inlineStr">
        <is>
          <t>Validaciones activas:</t>
        </is>
      </c>
    </row>
    <row r="24">
      <c r="A24" s="1" t="inlineStr">
        <is>
          <t xml:space="preserve">  • entidad: Early Crop / Greenpack</t>
        </is>
      </c>
    </row>
    <row r="25">
      <c r="A25" s="1" t="inlineStr">
        <is>
          <t xml:space="preserve">  • cultivo: arandano / limon / cana / empaque</t>
        </is>
      </c>
    </row>
    <row r="26">
      <c r="A26" s="1" t="inlineStr">
        <is>
          <t xml:space="preserve">  • canal: exportacion / mercado interno / —</t>
        </is>
      </c>
    </row>
    <row r="27">
      <c r="A27" s="1" t="inlineStr">
        <is>
          <t xml:space="preserve">  • tipo: fresco / industria / —</t>
        </is>
      </c>
    </row>
    <row r="28">
      <c r="A28" s="1" t="inlineStr">
        <is>
          <t xml:space="preserve">  • mercado: USA / Rusia / Europa UE / Europa No-UE / mercado interno / —</t>
        </is>
      </c>
    </row>
    <row r="30">
      <c r="A30" s="12" t="inlineStr">
        <is>
          <t xml:space="preserve">  • Proyeccion — Ingresos proyectados por cultivo 2026–2036. Base real 2026 + tasas editables.</t>
        </is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zoomScaleNormal="100" workbookViewId="0">
      <pane ySplit="1" topLeftCell="A2" activePane="bottomLeft" state="frozen"/>
      <selection pane="bottomLeft" activeCell="I12" sqref="I12:I15"/>
    </sheetView>
  </sheetViews>
  <sheetFormatPr baseColWidth="10" defaultColWidth="8.6640625" defaultRowHeight="14.4"/>
  <cols>
    <col width="8" customWidth="1" style="22" min="1" max="1"/>
    <col width="13" customWidth="1" style="22" min="2" max="2"/>
    <col width="11" customWidth="1" style="22" min="3" max="3"/>
    <col width="16" customWidth="1" style="22" min="4" max="4"/>
    <col width="11" customWidth="1" style="22" min="5" max="5"/>
    <col width="17" customWidth="1" style="22" min="6" max="6"/>
    <col width="11" customWidth="1" style="22" min="7" max="7"/>
    <col width="14" customWidth="1" style="22" min="8" max="9"/>
    <col width="10.109375" bestFit="1" customWidth="1" style="22" min="11" max="11"/>
  </cols>
  <sheetData>
    <row r="1">
      <c r="A1" s="2" t="inlineStr">
        <is>
          <t>año</t>
        </is>
      </c>
      <c r="B1" s="2" t="inlineStr">
        <is>
          <t>entidad</t>
        </is>
      </c>
      <c r="C1" s="2" t="inlineStr">
        <is>
          <t>cultivo</t>
        </is>
      </c>
      <c r="D1" s="2" t="inlineStr">
        <is>
          <t>canal</t>
        </is>
      </c>
      <c r="E1" s="2" t="inlineStr">
        <is>
          <t>tipo</t>
        </is>
      </c>
      <c r="F1" s="2" t="inlineStr">
        <is>
          <t>mercado</t>
        </is>
      </c>
      <c r="G1" s="2" t="inlineStr">
        <is>
          <t>kg_miles</t>
        </is>
      </c>
      <c r="H1" s="2" t="inlineStr">
        <is>
          <t>precio_kg_usd</t>
        </is>
      </c>
      <c r="I1" s="2" t="inlineStr">
        <is>
          <t>ingreso_usd</t>
        </is>
      </c>
    </row>
    <row r="2">
      <c r="A2" s="3" t="n">
        <v>2025</v>
      </c>
      <c r="B2" s="4" t="inlineStr">
        <is>
          <t>Early Crop</t>
        </is>
      </c>
      <c r="C2" s="4" t="inlineStr">
        <is>
          <t>arandano</t>
        </is>
      </c>
      <c r="D2" s="4" t="inlineStr">
        <is>
          <t>exportacion</t>
        </is>
      </c>
      <c r="E2" s="4" t="inlineStr">
        <is>
          <t>industria</t>
        </is>
      </c>
      <c r="F2" s="4" t="inlineStr">
        <is>
          <t>Europa</t>
        </is>
      </c>
      <c r="G2" s="9" t="n">
        <v>95.90000000000001</v>
      </c>
      <c r="H2" s="5" t="n">
        <v>3.55</v>
      </c>
      <c r="I2" s="6">
        <f>IF(OR(G2="",H2=""),"",G2*1000*H2)</f>
        <v/>
      </c>
    </row>
    <row r="3">
      <c r="A3" s="3" t="n">
        <v>2025</v>
      </c>
      <c r="B3" s="4" t="inlineStr">
        <is>
          <t>Early Crop</t>
        </is>
      </c>
      <c r="C3" s="4" t="inlineStr">
        <is>
          <t>arandano</t>
        </is>
      </c>
      <c r="D3" s="4" t="inlineStr">
        <is>
          <t>exportacion</t>
        </is>
      </c>
      <c r="E3" s="4" t="inlineStr">
        <is>
          <t>fresco</t>
        </is>
      </c>
      <c r="F3" s="4" t="inlineStr">
        <is>
          <t>Europa</t>
        </is>
      </c>
      <c r="G3" s="9" t="n">
        <v>1185.4</v>
      </c>
      <c r="H3" s="5" t="n">
        <v>6.730808576851695</v>
      </c>
      <c r="I3" s="6">
        <f>IF(OR(G3="",H3=""),"",G3*1000*H3)</f>
        <v/>
      </c>
    </row>
    <row r="4">
      <c r="A4" s="3" t="n">
        <v>2025</v>
      </c>
      <c r="B4" s="4" t="inlineStr">
        <is>
          <t>Early Crop</t>
        </is>
      </c>
      <c r="C4" s="4" t="inlineStr">
        <is>
          <t>arandano</t>
        </is>
      </c>
      <c r="D4" s="4" t="inlineStr">
        <is>
          <t>mercado interno</t>
        </is>
      </c>
      <c r="E4" s="4" t="inlineStr">
        <is>
          <t>fresco</t>
        </is>
      </c>
      <c r="F4" s="4" t="inlineStr">
        <is>
          <t>mercado interno</t>
        </is>
      </c>
      <c r="G4" s="9" t="n">
        <v>127.1475</v>
      </c>
      <c r="H4" s="5" t="n">
        <v>9.75</v>
      </c>
      <c r="I4" s="6">
        <f>IF(OR(G4="",H4=""),"",G4*1000*H4)</f>
        <v/>
      </c>
    </row>
    <row r="5">
      <c r="A5" s="3" t="n">
        <v>2025</v>
      </c>
      <c r="B5" s="4" t="inlineStr">
        <is>
          <t>Early Crop</t>
        </is>
      </c>
      <c r="C5" s="4" t="inlineStr">
        <is>
          <t>arandano</t>
        </is>
      </c>
      <c r="D5" s="4" t="inlineStr">
        <is>
          <t>mercado interno</t>
        </is>
      </c>
      <c r="E5" s="4" t="inlineStr">
        <is>
          <t>industria</t>
        </is>
      </c>
      <c r="F5" s="4" t="inlineStr">
        <is>
          <t>mercado interno</t>
        </is>
      </c>
      <c r="G5" s="9" t="n">
        <v>349.6</v>
      </c>
      <c r="H5" s="5" t="n">
        <v>2.75095908538824</v>
      </c>
      <c r="I5" s="6">
        <f>IF(OR(G5="",H5=""),"",G5*1000*H5)</f>
        <v/>
      </c>
    </row>
    <row r="6">
      <c r="A6" s="3" t="n">
        <v>2025</v>
      </c>
      <c r="B6" s="4" t="inlineStr">
        <is>
          <t>Early Crop</t>
        </is>
      </c>
      <c r="C6" s="4" t="inlineStr">
        <is>
          <t>limon</t>
        </is>
      </c>
      <c r="D6" s="4" t="inlineStr">
        <is>
          <t>exportacion</t>
        </is>
      </c>
      <c r="E6" s="4" t="inlineStr">
        <is>
          <t>fresco</t>
        </is>
      </c>
      <c r="F6" s="4" t="inlineStr">
        <is>
          <t>USA</t>
        </is>
      </c>
      <c r="G6" s="9" t="n">
        <v>1347.84</v>
      </c>
      <c r="H6" s="5" t="n">
        <v>1.008011900522317</v>
      </c>
      <c r="I6" s="6">
        <f>IF(OR(G6="",H6=""),"",G6*1000*H6)</f>
        <v/>
      </c>
      <c r="K6" s="11" t="n"/>
      <c r="L6" s="10" t="n"/>
    </row>
    <row r="7">
      <c r="A7" s="3" t="n">
        <v>2025</v>
      </c>
      <c r="B7" s="4" t="inlineStr">
        <is>
          <t>Early Crop</t>
        </is>
      </c>
      <c r="C7" s="4" t="inlineStr">
        <is>
          <t>limon</t>
        </is>
      </c>
      <c r="D7" s="4" t="inlineStr">
        <is>
          <t>exportacion</t>
        </is>
      </c>
      <c r="E7" s="4" t="inlineStr">
        <is>
          <t>fresco</t>
        </is>
      </c>
      <c r="F7" s="4" t="inlineStr">
        <is>
          <t>Europa UE</t>
        </is>
      </c>
      <c r="G7" s="9" t="n">
        <v>2171.772</v>
      </c>
      <c r="H7" s="5" t="n">
        <v>1.070785630351621</v>
      </c>
      <c r="I7" s="6">
        <f>IF(OR(G7="",H7=""),"",G7*1000*H7)</f>
        <v/>
      </c>
    </row>
    <row r="8">
      <c r="A8" s="3" t="n">
        <v>2025</v>
      </c>
      <c r="B8" s="4" t="inlineStr">
        <is>
          <t>Early Crop</t>
        </is>
      </c>
      <c r="C8" s="4" t="inlineStr">
        <is>
          <t>limon</t>
        </is>
      </c>
      <c r="D8" s="4" t="inlineStr">
        <is>
          <t>exportacion</t>
        </is>
      </c>
      <c r="E8" s="4" t="inlineStr">
        <is>
          <t>fresco</t>
        </is>
      </c>
      <c r="F8" s="4" t="inlineStr">
        <is>
          <t>Europa No-UE</t>
        </is>
      </c>
      <c r="G8" s="9" t="n">
        <v>2940.828</v>
      </c>
      <c r="H8" s="5" t="n">
        <v>0.8577113894454215</v>
      </c>
      <c r="I8" s="6">
        <f>IF(OR(G8="",H8=""),"",G8*1000*H8)</f>
        <v/>
      </c>
    </row>
    <row r="9">
      <c r="A9" s="3" t="n">
        <v>2025</v>
      </c>
      <c r="B9" s="4" t="inlineStr">
        <is>
          <t>Early Crop</t>
        </is>
      </c>
      <c r="C9" s="4" t="inlineStr">
        <is>
          <t>limon</t>
        </is>
      </c>
      <c r="D9" s="4" t="inlineStr">
        <is>
          <t>mercado interno</t>
        </is>
      </c>
      <c r="E9" s="4" t="inlineStr">
        <is>
          <t>industria</t>
        </is>
      </c>
      <c r="F9" s="4" t="inlineStr">
        <is>
          <t>mercado interno</t>
        </is>
      </c>
      <c r="G9" s="9" t="n">
        <v>5767.8</v>
      </c>
      <c r="H9" s="5" t="n">
        <v>0.1356</v>
      </c>
      <c r="I9" s="6">
        <f>IF(OR(G9="",H9=""),"",G9*1000*H9)</f>
        <v/>
      </c>
    </row>
    <row r="10">
      <c r="A10" s="3" t="n">
        <v>2025</v>
      </c>
      <c r="B10" s="4" t="inlineStr">
        <is>
          <t>Early Crop</t>
        </is>
      </c>
      <c r="C10" s="4" t="inlineStr">
        <is>
          <t>cana</t>
        </is>
      </c>
      <c r="D10" s="4" t="inlineStr">
        <is>
          <t>—</t>
        </is>
      </c>
      <c r="E10" s="4" t="inlineStr">
        <is>
          <t>—</t>
        </is>
      </c>
      <c r="F10" s="4" t="inlineStr">
        <is>
          <t>—</t>
        </is>
      </c>
      <c r="G10" s="9" t="n"/>
      <c r="H10" s="5" t="n"/>
      <c r="I10" s="6">
        <f>IF(OR(G10="",H10=""),"",G10*1000*H10)</f>
        <v/>
      </c>
    </row>
    <row r="11">
      <c r="A11" s="3" t="n">
        <v>2025</v>
      </c>
      <c r="B11" s="4" t="inlineStr">
        <is>
          <t>Greenpack</t>
        </is>
      </c>
      <c r="C11" s="4" t="inlineStr">
        <is>
          <t>empaque</t>
        </is>
      </c>
      <c r="D11" s="4" t="inlineStr">
        <is>
          <t>—</t>
        </is>
      </c>
      <c r="E11" s="4" t="inlineStr">
        <is>
          <t>—</t>
        </is>
      </c>
      <c r="F11" s="4" t="inlineStr">
        <is>
          <t>—</t>
        </is>
      </c>
      <c r="G11" s="9" t="n"/>
      <c r="H11" s="7" t="n"/>
      <c r="I11" s="8" t="n">
        <v>1161700</v>
      </c>
    </row>
    <row r="12">
      <c r="A12" s="3" t="n">
        <v>2026</v>
      </c>
      <c r="B12" s="4" t="inlineStr">
        <is>
          <t>Early Crop</t>
        </is>
      </c>
      <c r="C12" s="4" t="inlineStr">
        <is>
          <t>arandano</t>
        </is>
      </c>
      <c r="D12" s="4" t="inlineStr">
        <is>
          <t>exportacion</t>
        </is>
      </c>
      <c r="E12" s="4" t="inlineStr">
        <is>
          <t>industria</t>
        </is>
      </c>
      <c r="F12" s="4" t="inlineStr">
        <is>
          <t>Europa</t>
        </is>
      </c>
      <c r="G12" s="9" t="n">
        <v>135</v>
      </c>
      <c r="H12" s="5" t="n">
        <v>2.8</v>
      </c>
      <c r="I12" s="6">
        <f>IF(OR(G12="",H12=""),"",G12*1000*H12)</f>
        <v/>
      </c>
    </row>
    <row r="13">
      <c r="A13" s="3" t="n">
        <v>2026</v>
      </c>
      <c r="B13" s="4" t="inlineStr">
        <is>
          <t>Early Crop</t>
        </is>
      </c>
      <c r="C13" s="4" t="inlineStr">
        <is>
          <t>arandano</t>
        </is>
      </c>
      <c r="D13" s="4" t="inlineStr">
        <is>
          <t>exportacion</t>
        </is>
      </c>
      <c r="E13" s="4" t="inlineStr">
        <is>
          <t>fresco</t>
        </is>
      </c>
      <c r="F13" s="4" t="inlineStr">
        <is>
          <t>Europa</t>
        </is>
      </c>
      <c r="G13" s="9" t="n">
        <v>1091.6</v>
      </c>
      <c r="H13" s="5" t="n">
        <v>7.458867717112496</v>
      </c>
      <c r="I13" s="6">
        <f>IF(OR(G13="",H13=""),"",G13*1000*H13)</f>
        <v/>
      </c>
    </row>
    <row r="14">
      <c r="A14" s="3" t="n">
        <v>2026</v>
      </c>
      <c r="B14" s="4" t="inlineStr">
        <is>
          <t>Early Crop</t>
        </is>
      </c>
      <c r="C14" s="4" t="inlineStr">
        <is>
          <t>arandano</t>
        </is>
      </c>
      <c r="D14" s="4" t="inlineStr">
        <is>
          <t>mercado interno</t>
        </is>
      </c>
      <c r="E14" s="4" t="inlineStr">
        <is>
          <t>fresco</t>
        </is>
      </c>
      <c r="F14" s="4" t="inlineStr">
        <is>
          <t>mercado interno</t>
        </is>
      </c>
      <c r="G14" s="9" t="n">
        <v>171.4</v>
      </c>
      <c r="H14" s="5" t="n">
        <v>8.026837806301051</v>
      </c>
      <c r="I14" s="6">
        <f>IF(OR(G14="",H14=""),"",G14*1000*H14)</f>
        <v/>
      </c>
    </row>
    <row r="15">
      <c r="A15" s="3" t="n">
        <v>2026</v>
      </c>
      <c r="B15" s="4" t="inlineStr">
        <is>
          <t>Early Crop</t>
        </is>
      </c>
      <c r="C15" s="4" t="inlineStr">
        <is>
          <t>arandano</t>
        </is>
      </c>
      <c r="D15" s="4" t="inlineStr">
        <is>
          <t>mercado interno</t>
        </is>
      </c>
      <c r="E15" s="4" t="inlineStr">
        <is>
          <t>industria</t>
        </is>
      </c>
      <c r="F15" s="4" t="inlineStr">
        <is>
          <t>mercado interno</t>
        </is>
      </c>
      <c r="G15" s="9" t="n">
        <v>402</v>
      </c>
      <c r="H15" s="5" t="n">
        <v>2.8</v>
      </c>
      <c r="I15" s="6">
        <f>IF(OR(G15="",H15=""),"",G15*1000*H15)</f>
        <v/>
      </c>
    </row>
    <row r="16">
      <c r="A16" s="3" t="n">
        <v>2026</v>
      </c>
      <c r="B16" s="4" t="inlineStr">
        <is>
          <t>Early Crop</t>
        </is>
      </c>
      <c r="C16" s="4" t="inlineStr">
        <is>
          <t>limon</t>
        </is>
      </c>
      <c r="D16" s="4" t="inlineStr">
        <is>
          <t>exportacion</t>
        </is>
      </c>
      <c r="E16" s="4" t="inlineStr">
        <is>
          <t>fresco</t>
        </is>
      </c>
      <c r="F16" s="4" t="inlineStr">
        <is>
          <t>USA</t>
        </is>
      </c>
      <c r="G16" s="9" t="n">
        <v>3913.92</v>
      </c>
      <c r="H16" s="5" t="n">
        <v>0.97</v>
      </c>
      <c r="I16" s="6">
        <f>IF(OR(G16="",H16=""),"",G16*1000*H16)</f>
        <v/>
      </c>
    </row>
    <row r="17">
      <c r="A17" s="3" t="n">
        <v>2026</v>
      </c>
      <c r="B17" s="4" t="inlineStr">
        <is>
          <t>Early Crop</t>
        </is>
      </c>
      <c r="C17" s="4" t="inlineStr">
        <is>
          <t>limon</t>
        </is>
      </c>
      <c r="D17" s="4" t="inlineStr">
        <is>
          <t>exportacion</t>
        </is>
      </c>
      <c r="E17" s="4" t="inlineStr">
        <is>
          <t>fresco</t>
        </is>
      </c>
      <c r="F17" s="4" t="inlineStr">
        <is>
          <t>Europa UE</t>
        </is>
      </c>
      <c r="G17" s="9" t="n">
        <v>4872.96</v>
      </c>
      <c r="H17" s="5" t="n">
        <v>0.97</v>
      </c>
      <c r="I17" s="6">
        <f>IF(OR(G17="",H17=""),"",G17*1000*H17)</f>
        <v/>
      </c>
    </row>
    <row r="18">
      <c r="A18" s="3" t="n">
        <v>2026</v>
      </c>
      <c r="B18" s="4" t="inlineStr">
        <is>
          <t>Early Crop</t>
        </is>
      </c>
      <c r="C18" s="4" t="inlineStr">
        <is>
          <t>limon</t>
        </is>
      </c>
      <c r="D18" s="4" t="inlineStr">
        <is>
          <t>exportacion</t>
        </is>
      </c>
      <c r="E18" s="4" t="inlineStr">
        <is>
          <t>fresco</t>
        </is>
      </c>
      <c r="F18" s="4" t="inlineStr">
        <is>
          <t>Europa No-UE</t>
        </is>
      </c>
      <c r="G18" s="9" t="n">
        <v>4790.208</v>
      </c>
      <c r="H18" s="5" t="n">
        <v>0.97</v>
      </c>
      <c r="I18" s="6">
        <f>IF(OR(G18="",H18=""),"",G18*1000*H18)</f>
        <v/>
      </c>
    </row>
    <row r="19">
      <c r="A19" s="3" t="n">
        <v>2026</v>
      </c>
      <c r="B19" s="4" t="inlineStr">
        <is>
          <t>Early Crop</t>
        </is>
      </c>
      <c r="C19" s="4" t="inlineStr">
        <is>
          <t>limon</t>
        </is>
      </c>
      <c r="D19" s="4" t="inlineStr">
        <is>
          <t>mercado interno</t>
        </is>
      </c>
      <c r="E19" s="4" t="inlineStr">
        <is>
          <t>industria</t>
        </is>
      </c>
      <c r="F19" s="4" t="inlineStr">
        <is>
          <t>mercado interno</t>
        </is>
      </c>
      <c r="G19" s="9" t="n">
        <v>11540</v>
      </c>
      <c r="H19" s="5" t="n">
        <v>0.156</v>
      </c>
      <c r="I19" s="6">
        <f>IF(OR(G19="",H19=""),"",G19*1000*H19)</f>
        <v/>
      </c>
    </row>
    <row r="20">
      <c r="A20" s="3" t="n">
        <v>2026</v>
      </c>
      <c r="B20" s="4" t="inlineStr">
        <is>
          <t>Early Crop</t>
        </is>
      </c>
      <c r="C20" s="4" t="inlineStr">
        <is>
          <t>cana</t>
        </is>
      </c>
      <c r="D20" s="4" t="inlineStr">
        <is>
          <t>—</t>
        </is>
      </c>
      <c r="E20" s="4" t="inlineStr">
        <is>
          <t>—</t>
        </is>
      </c>
      <c r="F20" s="4" t="inlineStr">
        <is>
          <t>—</t>
        </is>
      </c>
      <c r="G20" s="9" t="n"/>
      <c r="H20" s="5" t="n"/>
      <c r="I20" s="6">
        <f>IF(OR(G20="",H20=""),"",G20*1000*H20)</f>
        <v/>
      </c>
    </row>
    <row r="21">
      <c r="A21" s="3" t="n">
        <v>2026</v>
      </c>
      <c r="B21" s="4" t="inlineStr">
        <is>
          <t>Greenpack</t>
        </is>
      </c>
      <c r="C21" s="4" t="inlineStr">
        <is>
          <t>empaque</t>
        </is>
      </c>
      <c r="D21" s="4" t="inlineStr">
        <is>
          <t>—</t>
        </is>
      </c>
      <c r="E21" s="4" t="inlineStr">
        <is>
          <t>—</t>
        </is>
      </c>
      <c r="F21" s="4" t="inlineStr">
        <is>
          <t>—</t>
        </is>
      </c>
      <c r="G21" s="9" t="n"/>
      <c r="H21" s="7" t="n"/>
      <c r="I21" s="8" t="n">
        <v>1973600</v>
      </c>
    </row>
  </sheetData>
  <dataValidations disablePrompts="1" count="6">
    <dataValidation sqref="F22:F494" showDropDown="0" showInputMessage="0" showErrorMessage="0" allowBlank="0" type="list">
      <formula1>"USA,Rusia,Europa UE,Europa No-UE,mercado interno,—"</formula1>
      <formula2>0</formula2>
    </dataValidation>
    <dataValidation sqref="B2:B494" showDropDown="0" showInputMessage="0" showErrorMessage="0" allowBlank="0" type="list">
      <formula1>"Early Crop,Greenpack"</formula1>
      <formula2>0</formula2>
    </dataValidation>
    <dataValidation sqref="C2:C494" showDropDown="0" showInputMessage="0" showErrorMessage="0" allowBlank="0" type="list">
      <formula1>"arandano,limon,cana,empaque"</formula1>
      <formula2>0</formula2>
    </dataValidation>
    <dataValidation sqref="D2:D494" showDropDown="0" showInputMessage="0" showErrorMessage="0" allowBlank="0" type="list">
      <formula1>"exportacion,mercado interno,—"</formula1>
      <formula2>0</formula2>
    </dataValidation>
    <dataValidation sqref="E2:E494" showDropDown="0" showInputMessage="0" showErrorMessage="0" allowBlank="0" type="list">
      <formula1>"fresco,industria,—"</formula1>
      <formula2>0</formula2>
    </dataValidation>
    <dataValidation sqref="F2:F21" showDropDown="0" showInputMessage="0" showErrorMessage="0" allowBlank="0" type="list">
      <formula1>"USA,Rusia,Europa UE,Europa No-UE,mercado interno,—,Europa"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22" min="1" max="1"/>
    <col width="28" customWidth="1" style="22" min="2" max="2"/>
    <col width="13" customWidth="1" style="22" min="3" max="3"/>
    <col width="13" customWidth="1" style="22" min="4" max="4"/>
    <col width="13" customWidth="1" style="22" min="5" max="5"/>
    <col width="13" customWidth="1" style="22" min="6" max="6"/>
    <col width="13" customWidth="1" style="22" min="7" max="7"/>
    <col width="13" customWidth="1" style="22" min="8" max="8"/>
    <col width="13" customWidth="1" style="22" min="9" max="9"/>
    <col width="13" customWidth="1" style="22" min="10" max="10"/>
    <col width="13" customWidth="1" style="22" min="11" max="11"/>
    <col width="13" customWidth="1" style="22" min="12" max="12"/>
    <col width="13" customWidth="1" style="22" min="13" max="13"/>
  </cols>
  <sheetData>
    <row r="1">
      <c r="A1" s="26" t="inlineStr">
        <is>
          <t>Panel Early Crop — Proyección de Ingresos Comerciales</t>
        </is>
      </c>
    </row>
    <row r="2">
      <c r="A2" s="27" t="inlineStr">
        <is>
          <t>Ingresos = (kg propios proyectados + kg terceros) × precio FOB  |  Fresco y industria por separado  |  USD</t>
        </is>
      </c>
    </row>
    <row r="3">
      <c r="A3" s="28" t="inlineStr">
        <is>
          <t>🟡 Celdas amarillas = editables        ⬜ Celdas grises = calculadas automáticamente (no editar)</t>
        </is>
      </c>
    </row>
    <row r="4" ht="6" customHeight="1" s="22"/>
    <row r="5" ht="18" customHeight="1" s="22">
      <c r="A5" s="29" t="inlineStr">
        <is>
          <t>Cultivo</t>
        </is>
      </c>
      <c r="B5" s="29" t="inlineStr">
        <is>
          <t>Variable</t>
        </is>
      </c>
      <c r="C5" s="29" t="inlineStr">
        <is>
          <t>2026</t>
        </is>
      </c>
      <c r="D5" s="29" t="inlineStr">
        <is>
          <t>2027</t>
        </is>
      </c>
      <c r="E5" s="29" t="inlineStr">
        <is>
          <t>2028</t>
        </is>
      </c>
      <c r="F5" s="29" t="inlineStr">
        <is>
          <t>2029</t>
        </is>
      </c>
      <c r="G5" s="29" t="inlineStr">
        <is>
          <t>2030</t>
        </is>
      </c>
      <c r="H5" s="29" t="inlineStr">
        <is>
          <t>2031</t>
        </is>
      </c>
      <c r="I5" s="29" t="inlineStr">
        <is>
          <t>2032</t>
        </is>
      </c>
      <c r="J5" s="29" t="inlineStr">
        <is>
          <t>2033</t>
        </is>
      </c>
      <c r="K5" s="29" t="inlineStr">
        <is>
          <t>2034</t>
        </is>
      </c>
      <c r="L5" s="29" t="inlineStr">
        <is>
          <t>2035</t>
        </is>
      </c>
      <c r="M5" s="29" t="inlineStr">
        <is>
          <t>2036</t>
        </is>
      </c>
    </row>
    <row r="6" ht="18" customHeight="1" s="22">
      <c r="A6" s="30" t="inlineStr">
        <is>
          <t>Arándano</t>
        </is>
      </c>
      <c r="B6" s="31" t="inlineStr">
        <is>
          <t>kg propios fresco (calculado)</t>
        </is>
      </c>
      <c r="C6" s="32" t="n">
        <v>1263060</v>
      </c>
      <c r="D6" s="32" t="n">
        <v>1515672</v>
      </c>
      <c r="E6" s="32" t="n">
        <v>1894590</v>
      </c>
      <c r="F6" s="32" t="n">
        <v>2273508</v>
      </c>
      <c r="G6" s="32" t="n">
        <v>2652426</v>
      </c>
      <c r="H6" s="32" t="n">
        <v>2841885</v>
      </c>
      <c r="I6" s="32" t="n">
        <v>3031344</v>
      </c>
      <c r="J6" s="32" t="n">
        <v>3031344</v>
      </c>
      <c r="K6" s="32" t="n">
        <v>2968191</v>
      </c>
      <c r="L6" s="32" t="n">
        <v>2879777</v>
      </c>
      <c r="M6" s="32" t="n">
        <v>2766101</v>
      </c>
    </row>
    <row r="7" ht="18" customHeight="1" s="22">
      <c r="A7" s="33" t="inlineStr"/>
      <c r="B7" s="31" t="inlineStr">
        <is>
          <t>kg propios industria (calculado)</t>
        </is>
      </c>
      <c r="C7" s="32" t="n">
        <v>536940</v>
      </c>
      <c r="D7" s="32" t="n">
        <v>644328</v>
      </c>
      <c r="E7" s="32" t="n">
        <v>805410</v>
      </c>
      <c r="F7" s="32" t="n">
        <v>966492</v>
      </c>
      <c r="G7" s="32" t="n">
        <v>1127574</v>
      </c>
      <c r="H7" s="32" t="n">
        <v>1208115</v>
      </c>
      <c r="I7" s="32" t="n">
        <v>1288656</v>
      </c>
      <c r="J7" s="32" t="n">
        <v>1288656</v>
      </c>
      <c r="K7" s="32" t="n">
        <v>1261809</v>
      </c>
      <c r="L7" s="32" t="n">
        <v>1224223</v>
      </c>
      <c r="M7" s="32" t="n">
        <v>1175899</v>
      </c>
    </row>
    <row r="8" ht="18" customHeight="1" s="22">
      <c r="A8" s="33" t="inlineStr"/>
      <c r="B8" s="31" t="inlineStr">
        <is>
          <t>% fresco vs industria</t>
        </is>
      </c>
      <c r="C8" s="34" t="n">
        <v>0.7017</v>
      </c>
      <c r="D8" s="34" t="n">
        <v>0.7017</v>
      </c>
      <c r="E8" s="34" t="n">
        <v>0.7017</v>
      </c>
      <c r="F8" s="34" t="n">
        <v>0.7017</v>
      </c>
      <c r="G8" s="34" t="n">
        <v>0.7017</v>
      </c>
      <c r="H8" s="34" t="n">
        <v>0.7017</v>
      </c>
      <c r="I8" s="34" t="n">
        <v>0.7017</v>
      </c>
      <c r="J8" s="34" t="n">
        <v>0.7017</v>
      </c>
      <c r="K8" s="34" t="n">
        <v>0.7017</v>
      </c>
      <c r="L8" s="34" t="n">
        <v>0.7017</v>
      </c>
      <c r="M8" s="34" t="n">
        <v>0.7017</v>
      </c>
    </row>
    <row r="9" ht="18" customHeight="1" s="22">
      <c r="A9" s="33" t="inlineStr"/>
      <c r="B9" s="31" t="inlineStr">
        <is>
          <t>kg terceros fresco</t>
        </is>
      </c>
      <c r="C9" s="35" t="n">
        <v>0</v>
      </c>
      <c r="D9" s="35" t="n">
        <v>0</v>
      </c>
      <c r="E9" s="35" t="n">
        <v>0</v>
      </c>
      <c r="F9" s="35" t="n">
        <v>0</v>
      </c>
      <c r="G9" s="35" t="n">
        <v>0</v>
      </c>
      <c r="H9" s="35" t="n">
        <v>0</v>
      </c>
      <c r="I9" s="35" t="n">
        <v>0</v>
      </c>
      <c r="J9" s="35" t="n">
        <v>0</v>
      </c>
      <c r="K9" s="35" t="n">
        <v>0</v>
      </c>
      <c r="L9" s="35" t="n">
        <v>0</v>
      </c>
      <c r="M9" s="35" t="n">
        <v>0</v>
      </c>
    </row>
    <row r="10" ht="18" customHeight="1" s="22">
      <c r="A10" s="33" t="inlineStr"/>
      <c r="B10" s="31" t="inlineStr">
        <is>
          <t>kg terceros industria</t>
        </is>
      </c>
      <c r="C10" s="35" t="n">
        <v>0</v>
      </c>
      <c r="D10" s="35" t="n">
        <v>0</v>
      </c>
      <c r="E10" s="35" t="n">
        <v>0</v>
      </c>
      <c r="F10" s="35" t="n">
        <v>0</v>
      </c>
      <c r="G10" s="35" t="n">
        <v>0</v>
      </c>
      <c r="H10" s="35" t="n">
        <v>0</v>
      </c>
      <c r="I10" s="35" t="n">
        <v>0</v>
      </c>
      <c r="J10" s="35" t="n">
        <v>0</v>
      </c>
      <c r="K10" s="35" t="n">
        <v>0</v>
      </c>
      <c r="L10" s="35" t="n">
        <v>0</v>
      </c>
      <c r="M10" s="35" t="n">
        <v>0</v>
      </c>
    </row>
    <row r="11" ht="18" customHeight="1" s="22">
      <c r="A11" s="33" t="inlineStr"/>
      <c r="B11" s="31" t="inlineStr">
        <is>
          <t>precio FOB fresco (USD/kg)</t>
        </is>
      </c>
      <c r="C11" s="36" t="n">
        <v>7.536</v>
      </c>
      <c r="D11" s="36" t="n">
        <v>7.536</v>
      </c>
      <c r="E11" s="36" t="n">
        <v>7.536</v>
      </c>
      <c r="F11" s="36" t="n">
        <v>7.536</v>
      </c>
      <c r="G11" s="36" t="n">
        <v>7.536</v>
      </c>
      <c r="H11" s="36" t="n">
        <v>7.536</v>
      </c>
      <c r="I11" s="36" t="n">
        <v>7.536</v>
      </c>
      <c r="J11" s="36" t="n">
        <v>7.536</v>
      </c>
      <c r="K11" s="36" t="n">
        <v>7.536</v>
      </c>
      <c r="L11" s="36" t="n">
        <v>7.536</v>
      </c>
      <c r="M11" s="36" t="n">
        <v>7.536</v>
      </c>
    </row>
    <row r="12" ht="18" customHeight="1" s="22">
      <c r="A12" s="33" t="inlineStr"/>
      <c r="B12" s="31" t="inlineStr">
        <is>
          <t>precio FOB industria (USD/kg)</t>
        </is>
      </c>
      <c r="C12" s="36" t="n">
        <v>2.8</v>
      </c>
      <c r="D12" s="36" t="n">
        <v>2.8</v>
      </c>
      <c r="E12" s="36" t="n">
        <v>2.8</v>
      </c>
      <c r="F12" s="36" t="n">
        <v>2.8</v>
      </c>
      <c r="G12" s="36" t="n">
        <v>2.8</v>
      </c>
      <c r="H12" s="36" t="n">
        <v>2.8</v>
      </c>
      <c r="I12" s="36" t="n">
        <v>2.8</v>
      </c>
      <c r="J12" s="36" t="n">
        <v>2.8</v>
      </c>
      <c r="K12" s="36" t="n">
        <v>2.8</v>
      </c>
      <c r="L12" s="36" t="n">
        <v>2.8</v>
      </c>
      <c r="M12" s="36" t="n">
        <v>2.8</v>
      </c>
    </row>
    <row r="13" ht="18" customHeight="1" s="22">
      <c r="A13" s="33" t="inlineStr"/>
      <c r="B13" s="37" t="inlineStr">
        <is>
          <t>→ INGRESO TOTAL (USD)</t>
        </is>
      </c>
      <c r="C13" s="38">
        <f>(C6+C9)*C11+(C7+C10)*C12</f>
        <v/>
      </c>
      <c r="D13" s="38">
        <f>(D6+D9)*D11+(D7+D10)*D12</f>
        <v/>
      </c>
      <c r="E13" s="38">
        <f>(E6+E9)*E11+(E7+E10)*E12</f>
        <v/>
      </c>
      <c r="F13" s="38">
        <f>(F6+F9)*F11+(F7+F10)*F12</f>
        <v/>
      </c>
      <c r="G13" s="38">
        <f>(G6+G9)*G11+(G7+G10)*G12</f>
        <v/>
      </c>
      <c r="H13" s="38">
        <f>(H6+H9)*H11+(H7+H10)*H12</f>
        <v/>
      </c>
      <c r="I13" s="38">
        <f>(I6+I9)*I11+(I7+I10)*I12</f>
        <v/>
      </c>
      <c r="J13" s="38">
        <f>(J6+J9)*J11+(J7+J10)*J12</f>
        <v/>
      </c>
      <c r="K13" s="38">
        <f>(K6+K9)*K11+(K7+K10)*K12</f>
        <v/>
      </c>
      <c r="L13" s="38">
        <f>(L6+L9)*L11+(L7+L10)*L12</f>
        <v/>
      </c>
      <c r="M13" s="38">
        <f>(M6+M9)*M11+(M7+M10)*M12</f>
        <v/>
      </c>
    </row>
    <row r="14" ht="18" customHeight="1" s="22">
      <c r="A14" s="39" t="inlineStr">
        <is>
          <t>Limón</t>
        </is>
      </c>
      <c r="B14" s="40" t="inlineStr">
        <is>
          <t>kg propios fresco (editable)</t>
        </is>
      </c>
      <c r="C14" s="35" t="n">
        <v>13578298</v>
      </c>
      <c r="D14" s="35" t="n">
        <v>13578298</v>
      </c>
      <c r="E14" s="35" t="n">
        <v>13578298</v>
      </c>
      <c r="F14" s="35" t="n">
        <v>13578298</v>
      </c>
      <c r="G14" s="35" t="n">
        <v>13578298</v>
      </c>
      <c r="H14" s="35" t="n">
        <v>13578298</v>
      </c>
      <c r="I14" s="35" t="n">
        <v>13578298</v>
      </c>
      <c r="J14" s="35" t="n">
        <v>13578298</v>
      </c>
      <c r="K14" s="35" t="n">
        <v>13578298</v>
      </c>
      <c r="L14" s="35" t="n">
        <v>13578298</v>
      </c>
      <c r="M14" s="35" t="n">
        <v>13578298</v>
      </c>
    </row>
    <row r="15" ht="18" customHeight="1" s="22">
      <c r="A15" s="41" t="inlineStr"/>
      <c r="B15" s="40" t="inlineStr">
        <is>
          <t>kg propios industria (editable)</t>
        </is>
      </c>
      <c r="C15" s="35" t="n">
        <v>11538790</v>
      </c>
      <c r="D15" s="35" t="n">
        <v>11538790</v>
      </c>
      <c r="E15" s="35" t="n">
        <v>11538790</v>
      </c>
      <c r="F15" s="35" t="n">
        <v>11538790</v>
      </c>
      <c r="G15" s="35" t="n">
        <v>11538790</v>
      </c>
      <c r="H15" s="35" t="n">
        <v>11538790</v>
      </c>
      <c r="I15" s="35" t="n">
        <v>11538790</v>
      </c>
      <c r="J15" s="35" t="n">
        <v>11538790</v>
      </c>
      <c r="K15" s="35" t="n">
        <v>11538790</v>
      </c>
      <c r="L15" s="35" t="n">
        <v>11538790</v>
      </c>
      <c r="M15" s="35" t="n">
        <v>11538790</v>
      </c>
    </row>
    <row r="16" ht="18" customHeight="1" s="22">
      <c r="A16" s="41" t="inlineStr"/>
      <c r="B16" s="40" t="inlineStr">
        <is>
          <t>% fresco vs industria</t>
        </is>
      </c>
      <c r="C16" s="34" t="n">
        <v>0.5406</v>
      </c>
      <c r="D16" s="34" t="n">
        <v>0.5406</v>
      </c>
      <c r="E16" s="34" t="n">
        <v>0.5406</v>
      </c>
      <c r="F16" s="34" t="n">
        <v>0.5406</v>
      </c>
      <c r="G16" s="34" t="n">
        <v>0.5406</v>
      </c>
      <c r="H16" s="34" t="n">
        <v>0.5406</v>
      </c>
      <c r="I16" s="34" t="n">
        <v>0.5406</v>
      </c>
      <c r="J16" s="34" t="n">
        <v>0.5406</v>
      </c>
      <c r="K16" s="34" t="n">
        <v>0.5406</v>
      </c>
      <c r="L16" s="34" t="n">
        <v>0.5406</v>
      </c>
      <c r="M16" s="34" t="n">
        <v>0.5406</v>
      </c>
    </row>
    <row r="17" ht="18" customHeight="1" s="22">
      <c r="A17" s="41" t="inlineStr"/>
      <c r="B17" s="40" t="inlineStr">
        <is>
          <t>kg terceros fresco</t>
        </is>
      </c>
      <c r="C17" s="35" t="n">
        <v>0</v>
      </c>
      <c r="D17" s="35" t="n">
        <v>0</v>
      </c>
      <c r="E17" s="35" t="n">
        <v>0</v>
      </c>
      <c r="F17" s="35" t="n">
        <v>0</v>
      </c>
      <c r="G17" s="35" t="n">
        <v>0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0</v>
      </c>
      <c r="M17" s="35" t="n">
        <v>0</v>
      </c>
    </row>
    <row r="18" ht="18" customHeight="1" s="22">
      <c r="A18" s="41" t="inlineStr"/>
      <c r="B18" s="40" t="inlineStr">
        <is>
          <t>kg terceros industria</t>
        </is>
      </c>
      <c r="C18" s="35" t="n">
        <v>0</v>
      </c>
      <c r="D18" s="35" t="n">
        <v>0</v>
      </c>
      <c r="E18" s="35" t="n">
        <v>0</v>
      </c>
      <c r="F18" s="35" t="n">
        <v>0</v>
      </c>
      <c r="G18" s="35" t="n">
        <v>0</v>
      </c>
      <c r="H18" s="35" t="n">
        <v>0</v>
      </c>
      <c r="I18" s="35" t="n">
        <v>0</v>
      </c>
      <c r="J18" s="35" t="n">
        <v>0</v>
      </c>
      <c r="K18" s="35" t="n">
        <v>0</v>
      </c>
      <c r="L18" s="35" t="n">
        <v>0</v>
      </c>
      <c r="M18" s="35" t="n">
        <v>0</v>
      </c>
    </row>
    <row r="19" ht="18" customHeight="1" s="22">
      <c r="A19" s="41" t="inlineStr"/>
      <c r="B19" s="40" t="inlineStr">
        <is>
          <t>precio FOB fresco (USD/kg)</t>
        </is>
      </c>
      <c r="C19" s="36" t="n">
        <v>0.97</v>
      </c>
      <c r="D19" s="36" t="n">
        <v>0.97</v>
      </c>
      <c r="E19" s="36" t="n">
        <v>0.97</v>
      </c>
      <c r="F19" s="36" t="n">
        <v>0.97</v>
      </c>
      <c r="G19" s="36" t="n">
        <v>0.97</v>
      </c>
      <c r="H19" s="36" t="n">
        <v>0.97</v>
      </c>
      <c r="I19" s="36" t="n">
        <v>0.97</v>
      </c>
      <c r="J19" s="36" t="n">
        <v>0.97</v>
      </c>
      <c r="K19" s="36" t="n">
        <v>0.97</v>
      </c>
      <c r="L19" s="36" t="n">
        <v>0.97</v>
      </c>
      <c r="M19" s="36" t="n">
        <v>0.97</v>
      </c>
    </row>
    <row r="20" ht="18" customHeight="1" s="22">
      <c r="A20" s="41" t="inlineStr"/>
      <c r="B20" s="40" t="inlineStr">
        <is>
          <t>precio FOB industria (USD/kg)</t>
        </is>
      </c>
      <c r="C20" s="36" t="n">
        <v>0.156</v>
      </c>
      <c r="D20" s="36" t="n">
        <v>0.156</v>
      </c>
      <c r="E20" s="36" t="n">
        <v>0.156</v>
      </c>
      <c r="F20" s="36" t="n">
        <v>0.156</v>
      </c>
      <c r="G20" s="36" t="n">
        <v>0.156</v>
      </c>
      <c r="H20" s="36" t="n">
        <v>0.156</v>
      </c>
      <c r="I20" s="36" t="n">
        <v>0.156</v>
      </c>
      <c r="J20" s="36" t="n">
        <v>0.156</v>
      </c>
      <c r="K20" s="36" t="n">
        <v>0.156</v>
      </c>
      <c r="L20" s="36" t="n">
        <v>0.156</v>
      </c>
      <c r="M20" s="36" t="n">
        <v>0.156</v>
      </c>
    </row>
    <row r="21" ht="18" customHeight="1" s="22">
      <c r="A21" s="41" t="inlineStr"/>
      <c r="B21" s="37" t="inlineStr">
        <is>
          <t>→ INGRESO TOTAL (USD)</t>
        </is>
      </c>
      <c r="C21" s="38">
        <f>(C14+C17)*C19+(C15+C18)*C20</f>
        <v/>
      </c>
      <c r="D21" s="38">
        <f>(D14+D17)*D19+(D15+D18)*D20</f>
        <v/>
      </c>
      <c r="E21" s="38">
        <f>(E14+E17)*E19+(E15+E18)*E20</f>
        <v/>
      </c>
      <c r="F21" s="38">
        <f>(F14+F17)*F19+(F15+F18)*F20</f>
        <v/>
      </c>
      <c r="G21" s="38">
        <f>(G14+G17)*G19+(G15+G18)*G20</f>
        <v/>
      </c>
      <c r="H21" s="38">
        <f>(H14+H17)*H19+(H15+H18)*H20</f>
        <v/>
      </c>
      <c r="I21" s="38">
        <f>(I14+I17)*I19+(I15+I18)*I20</f>
        <v/>
      </c>
      <c r="J21" s="38">
        <f>(J14+J17)*J19+(J15+J18)*J20</f>
        <v/>
      </c>
      <c r="K21" s="38">
        <f>(K14+K17)*K19+(K15+K18)*K20</f>
        <v/>
      </c>
      <c r="L21" s="38">
        <f>(L14+L17)*L19+(L15+L18)*L20</f>
        <v/>
      </c>
      <c r="M21" s="38">
        <f>(M14+M17)*M19+(M15+M18)*M20</f>
        <v/>
      </c>
    </row>
    <row r="22" ht="18" customHeight="1" s="22">
      <c r="A22" s="42" t="inlineStr">
        <is>
          <t>Caña</t>
        </is>
      </c>
      <c r="B22" s="43" t="inlineStr">
        <is>
          <t>kg propios fresco</t>
        </is>
      </c>
      <c r="C22" s="35" t="n">
        <v>0</v>
      </c>
      <c r="D22" s="35" t="n">
        <v>0</v>
      </c>
      <c r="E22" s="35" t="n">
        <v>0</v>
      </c>
      <c r="F22" s="35" t="n">
        <v>0</v>
      </c>
      <c r="G22" s="35" t="n">
        <v>0</v>
      </c>
      <c r="H22" s="35" t="n">
        <v>0</v>
      </c>
      <c r="I22" s="35" t="n">
        <v>0</v>
      </c>
      <c r="J22" s="35" t="n">
        <v>0</v>
      </c>
      <c r="K22" s="35" t="n">
        <v>0</v>
      </c>
      <c r="L22" s="35" t="n">
        <v>0</v>
      </c>
      <c r="M22" s="35" t="n">
        <v>0</v>
      </c>
    </row>
    <row r="23" ht="18" customHeight="1" s="22">
      <c r="A23" s="44" t="inlineStr"/>
      <c r="B23" s="43" t="inlineStr">
        <is>
          <t>kg propios industria</t>
        </is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5" t="n">
        <v>0</v>
      </c>
      <c r="J23" s="35" t="n">
        <v>0</v>
      </c>
      <c r="K23" s="35" t="n">
        <v>0</v>
      </c>
      <c r="L23" s="35" t="n">
        <v>0</v>
      </c>
      <c r="M23" s="35" t="n">
        <v>0</v>
      </c>
    </row>
    <row r="24" ht="18" customHeight="1" s="22">
      <c r="A24" s="44" t="inlineStr"/>
      <c r="B24" s="43" t="inlineStr">
        <is>
          <t>% fresco vs industria</t>
        </is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4" t="n">
        <v>0</v>
      </c>
      <c r="J24" s="34" t="n">
        <v>0</v>
      </c>
      <c r="K24" s="34" t="n">
        <v>0</v>
      </c>
      <c r="L24" s="34" t="n">
        <v>0</v>
      </c>
      <c r="M24" s="34" t="n">
        <v>0</v>
      </c>
    </row>
    <row r="25" ht="18" customHeight="1" s="22">
      <c r="A25" s="44" t="inlineStr"/>
      <c r="B25" s="43" t="inlineStr">
        <is>
          <t>kg terceros fresco</t>
        </is>
      </c>
      <c r="C25" s="35" t="n">
        <v>0</v>
      </c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5" t="n">
        <v>0</v>
      </c>
      <c r="J25" s="35" t="n">
        <v>0</v>
      </c>
      <c r="K25" s="35" t="n">
        <v>0</v>
      </c>
      <c r="L25" s="35" t="n">
        <v>0</v>
      </c>
      <c r="M25" s="35" t="n">
        <v>0</v>
      </c>
    </row>
    <row r="26" ht="18" customHeight="1" s="22">
      <c r="A26" s="44" t="inlineStr"/>
      <c r="B26" s="43" t="inlineStr">
        <is>
          <t>kg terceros industria</t>
        </is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5" t="n">
        <v>0</v>
      </c>
      <c r="J26" s="35" t="n">
        <v>0</v>
      </c>
      <c r="K26" s="35" t="n">
        <v>0</v>
      </c>
      <c r="L26" s="35" t="n">
        <v>0</v>
      </c>
      <c r="M26" s="35" t="n">
        <v>0</v>
      </c>
    </row>
    <row r="27" ht="18" customHeight="1" s="22">
      <c r="A27" s="44" t="inlineStr"/>
      <c r="B27" s="43" t="inlineStr">
        <is>
          <t>precio FOB fresco (USD/kg)</t>
        </is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6" t="n">
        <v>0</v>
      </c>
      <c r="I27" s="36" t="n">
        <v>0</v>
      </c>
      <c r="J27" s="36" t="n">
        <v>0</v>
      </c>
      <c r="K27" s="36" t="n">
        <v>0</v>
      </c>
      <c r="L27" s="36" t="n">
        <v>0</v>
      </c>
      <c r="M27" s="36" t="n">
        <v>0</v>
      </c>
    </row>
    <row r="28" ht="18" customHeight="1" s="22">
      <c r="A28" s="44" t="inlineStr"/>
      <c r="B28" s="43" t="inlineStr">
        <is>
          <t>precio FOB industria (USD/kg)</t>
        </is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6" t="n">
        <v>0</v>
      </c>
      <c r="I28" s="36" t="n">
        <v>0</v>
      </c>
      <c r="J28" s="36" t="n">
        <v>0</v>
      </c>
      <c r="K28" s="36" t="n">
        <v>0</v>
      </c>
      <c r="L28" s="36" t="n">
        <v>0</v>
      </c>
      <c r="M28" s="36" t="n">
        <v>0</v>
      </c>
    </row>
    <row r="29" ht="18" customHeight="1" s="22">
      <c r="A29" s="44" t="inlineStr"/>
      <c r="B29" s="37" t="inlineStr">
        <is>
          <t>→ INGRESO TOTAL (USD)</t>
        </is>
      </c>
      <c r="C29" s="38">
        <f>(C22+C25)*C27+(C23+C26)*C28</f>
        <v/>
      </c>
      <c r="D29" s="38">
        <f>(D22+D25)*D27+(D23+D26)*D28</f>
        <v/>
      </c>
      <c r="E29" s="38">
        <f>(E22+E25)*E27+(E23+E26)*E28</f>
        <v/>
      </c>
      <c r="F29" s="38">
        <f>(F22+F25)*F27+(F23+F26)*F28</f>
        <v/>
      </c>
      <c r="G29" s="38">
        <f>(G22+G25)*G27+(G23+G26)*G28</f>
        <v/>
      </c>
      <c r="H29" s="38">
        <f>(H22+H25)*H27+(H23+H26)*H28</f>
        <v/>
      </c>
      <c r="I29" s="38">
        <f>(I22+I25)*I27+(I23+I26)*I28</f>
        <v/>
      </c>
      <c r="J29" s="38">
        <f>(J22+J25)*J27+(J23+J26)*J28</f>
        <v/>
      </c>
      <c r="K29" s="38">
        <f>(K22+K25)*K27+(K23+K26)*K28</f>
        <v/>
      </c>
      <c r="L29" s="38">
        <f>(L22+L25)*L27+(L23+L26)*L28</f>
        <v/>
      </c>
      <c r="M29" s="38">
        <f>(M22+M25)*M27+(M23+M26)*M28</f>
        <v/>
      </c>
    </row>
    <row r="30" ht="22" customHeight="1" s="22">
      <c r="A30" s="45" t="inlineStr">
        <is>
          <t>TOTAL GRUPO</t>
        </is>
      </c>
      <c r="B30" s="46" t="inlineStr">
        <is>
          <t>→ INGRESO TOTAL (USD)</t>
        </is>
      </c>
      <c r="C30" s="47">
        <f>C13+C21+C29</f>
        <v/>
      </c>
      <c r="D30" s="47">
        <f>D13+D21+D29</f>
        <v/>
      </c>
      <c r="E30" s="47">
        <f>E13+E21+E29</f>
        <v/>
      </c>
      <c r="F30" s="47">
        <f>F13+F21+F29</f>
        <v/>
      </c>
      <c r="G30" s="47">
        <f>G13+G21+G29</f>
        <v/>
      </c>
      <c r="H30" s="47">
        <f>H13+H21+H29</f>
        <v/>
      </c>
      <c r="I30" s="47">
        <f>I13+I21+I29</f>
        <v/>
      </c>
      <c r="J30" s="47">
        <f>J13+J21+J29</f>
        <v/>
      </c>
      <c r="K30" s="47">
        <f>K13+K21+K29</f>
        <v/>
      </c>
      <c r="L30" s="47">
        <f>L13+L21+L29</f>
        <v/>
      </c>
      <c r="M30" s="47">
        <f>M13+M21+M29</f>
        <v/>
      </c>
    </row>
  </sheetData>
  <mergeCells count="3">
    <mergeCell ref="A3:M3"/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2026-04-27T15:21:03Z</dcterms:created>
  <dcterms:modified xmlns:dcterms="http://purl.org/dc/terms/" xmlns:xsi="http://www.w3.org/2001/XMLSchema-instance" xsi:type="dcterms:W3CDTF">2026-04-28T21:01:29Z</dcterms:modified>
  <cp:lastModifiedBy>sbaya</cp:lastModifiedBy>
  <cp:revision>0</cp:revision>
</cp:coreProperties>
</file>