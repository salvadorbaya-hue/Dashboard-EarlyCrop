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16380" windowHeight="8196" tabRatio="500" activeTab="3"/>
  </bookViews>
  <sheets>
    <sheet name="Instrucciones" sheetId="1" r:id="rId1"/>
    <sheet name="Campos" sheetId="2" r:id="rId2"/>
    <sheet name="Arandano 2026" sheetId="3" r:id="rId3"/>
    <sheet name="Limon 2026" sheetId="4" r:id="rId4"/>
    <sheet name="Cana 2026" sheetId="5" r:id="rId5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5" l="1"/>
  <c r="F2" i="5" s="1"/>
  <c r="D5" i="4"/>
  <c r="F5" i="4" s="1"/>
  <c r="D4" i="4"/>
  <c r="F4" i="4" s="1"/>
  <c r="D3" i="4"/>
  <c r="F3" i="4" s="1"/>
  <c r="D2" i="4"/>
  <c r="F2" i="4" s="1"/>
  <c r="D6" i="3"/>
  <c r="F6" i="3" s="1"/>
  <c r="D5" i="3"/>
  <c r="F5" i="3" s="1"/>
  <c r="D4" i="3"/>
  <c r="F4" i="3" s="1"/>
  <c r="D3" i="3"/>
  <c r="F3" i="3" s="1"/>
  <c r="D2" i="3"/>
  <c r="F2" i="3" s="1"/>
</calcChain>
</file>

<file path=xl/sharedStrings.xml><?xml version="1.0" encoding="utf-8"?>
<sst xmlns="http://schemas.openxmlformats.org/spreadsheetml/2006/main" count="177" uniqueCount="88">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</sst>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\$#,##0.00"/>
    <numFmt numFmtId="166" formatCode="\$#,##0.000"/>
    <numFmt numFmtId="167" formatCode="0.0%"/>
  </numFmts>
  <fonts count="6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Border="1" applyAlignment="1"/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9E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85" style="2" customWidth="1"/>
  </cols>
  <sheetData>
    <row r="1" spans="1:6" ht="21" customHeight="1" x14ac:dyDescent="0.4">
      <c r="A1" s="1" t="s">
        <v>0</v>
      </c>
      <c r="B1" s="1"/>
      <c r="C1" s="1"/>
      <c r="D1" s="1"/>
      <c r="E1" s="1"/>
      <c r="F1" s="1"/>
    </row>
    <row r="2" spans="1:6" ht="14.25" customHeight="1" x14ac:dyDescent="0.3">
      <c r="A2" s="3"/>
    </row>
    <row r="3" spans="1:6" ht="14.25" customHeight="1" x14ac:dyDescent="0.3">
      <c r="A3" s="3" t="s">
        <v>1</v>
      </c>
    </row>
    <row r="4" spans="1:6" ht="14.25" customHeight="1" x14ac:dyDescent="0.3">
      <c r="A4" s="3"/>
    </row>
    <row r="5" spans="1:6" ht="14.25" customHeight="1" x14ac:dyDescent="0.3">
      <c r="A5" s="3" t="s">
        <v>2</v>
      </c>
    </row>
    <row r="6" spans="1:6" ht="14.25" customHeight="1" x14ac:dyDescent="0.3">
      <c r="A6" s="3" t="s">
        <v>3</v>
      </c>
    </row>
    <row r="7" spans="1:6" ht="14.25" customHeight="1" x14ac:dyDescent="0.3">
      <c r="A7" s="3" t="s">
        <v>4</v>
      </c>
    </row>
    <row r="8" spans="1:6" ht="14.25" customHeight="1" x14ac:dyDescent="0.3">
      <c r="A8" s="3" t="s">
        <v>5</v>
      </c>
    </row>
    <row r="9" spans="1:6" ht="14.25" customHeight="1" x14ac:dyDescent="0.3">
      <c r="A9" s="3"/>
    </row>
    <row r="10" spans="1:6" ht="14.25" customHeight="1" x14ac:dyDescent="0.3">
      <c r="A10" s="3" t="s">
        <v>6</v>
      </c>
    </row>
    <row r="11" spans="1:6" ht="14.25" customHeight="1" x14ac:dyDescent="0.3">
      <c r="A11" s="3" t="s">
        <v>7</v>
      </c>
    </row>
    <row r="12" spans="1:6" ht="14.25" customHeight="1" x14ac:dyDescent="0.3">
      <c r="A12" s="3" t="s">
        <v>8</v>
      </c>
    </row>
    <row r="13" spans="1:6" ht="14.25" customHeight="1" x14ac:dyDescent="0.3">
      <c r="A13" s="3" t="s">
        <v>9</v>
      </c>
    </row>
    <row r="14" spans="1:6" ht="14.25" customHeight="1" x14ac:dyDescent="0.3">
      <c r="A14" s="3" t="s">
        <v>10</v>
      </c>
    </row>
    <row r="15" spans="1:6" ht="14.25" customHeight="1" x14ac:dyDescent="0.3">
      <c r="A15" s="3"/>
    </row>
    <row r="16" spans="1:6" ht="14.25" customHeight="1" x14ac:dyDescent="0.3">
      <c r="A16" s="3" t="s">
        <v>11</v>
      </c>
    </row>
    <row r="17" spans="1:1" ht="14.25" customHeight="1" x14ac:dyDescent="0.3">
      <c r="A17" s="3" t="s">
        <v>12</v>
      </c>
    </row>
    <row r="18" spans="1:1" ht="14.25" customHeight="1" x14ac:dyDescent="0.3">
      <c r="A18" s="3" t="s">
        <v>13</v>
      </c>
    </row>
    <row r="19" spans="1:1" ht="14.25" customHeight="1" x14ac:dyDescent="0.3">
      <c r="A19" s="3"/>
    </row>
    <row r="20" spans="1:1" ht="14.25" customHeight="1" x14ac:dyDescent="0.3">
      <c r="A20" s="3" t="s">
        <v>14</v>
      </c>
    </row>
    <row r="21" spans="1:1" ht="14.25" customHeight="1" x14ac:dyDescent="0.3">
      <c r="A21" s="3" t="s">
        <v>15</v>
      </c>
    </row>
    <row r="22" spans="1:1" ht="14.25" customHeight="1" x14ac:dyDescent="0.3">
      <c r="A22" s="3" t="s">
        <v>16</v>
      </c>
    </row>
    <row r="23" spans="1:1" ht="14.25" customHeight="1" x14ac:dyDescent="0.3">
      <c r="A23" s="3" t="s">
        <v>17</v>
      </c>
    </row>
    <row r="24" spans="1:1" ht="14.25" customHeight="1" x14ac:dyDescent="0.3">
      <c r="A24" s="3" t="s">
        <v>18</v>
      </c>
    </row>
    <row r="25" spans="1:1" ht="14.25" customHeight="1" x14ac:dyDescent="0.3">
      <c r="A25" s="3" t="s">
        <v>19</v>
      </c>
    </row>
    <row r="26" spans="1:1" ht="14.25" customHeight="1" x14ac:dyDescent="0.3">
      <c r="A26" s="3" t="s">
        <v>20</v>
      </c>
    </row>
    <row r="27" spans="1:1" ht="14.25" customHeight="1" x14ac:dyDescent="0.3">
      <c r="A27" s="3"/>
    </row>
    <row r="28" spans="1:1" ht="14.25" customHeight="1" x14ac:dyDescent="0.3">
      <c r="A28" s="3" t="s">
        <v>21</v>
      </c>
    </row>
    <row r="29" spans="1:1" ht="14.25" customHeight="1" x14ac:dyDescent="0.3">
      <c r="A29" s="3" t="s">
        <v>22</v>
      </c>
    </row>
    <row r="30" spans="1:1" ht="14.25" customHeight="1" x14ac:dyDescent="0.3">
      <c r="A30" s="3" t="s">
        <v>23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zoomScaleNormal="100" workbookViewId="0">
      <pane ySplit="1" topLeftCell="A2" activePane="bottomLeft" state="frozen"/>
      <selection pane="bottomLeft" activeCell="C15" sqref="C15"/>
    </sheetView>
  </sheetViews>
  <sheetFormatPr baseColWidth="10" defaultColWidth="8.6640625" defaultRowHeight="14.4" x14ac:dyDescent="0.3"/>
  <cols>
    <col min="1" max="2" width="12" style="2" customWidth="1"/>
    <col min="3" max="3" width="24" style="2" customWidth="1"/>
    <col min="4" max="5" width="14" style="2" customWidth="1"/>
    <col min="6" max="6" width="12" style="2" customWidth="1"/>
  </cols>
  <sheetData>
    <row r="1" spans="1:6" ht="14.25" customHeight="1" x14ac:dyDescent="0.3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</row>
    <row r="2" spans="1:6" ht="14.2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34</v>
      </c>
      <c r="F2" s="6">
        <v>77.5</v>
      </c>
    </row>
    <row r="3" spans="1:6" ht="14.25" customHeight="1" x14ac:dyDescent="0.3">
      <c r="A3" s="5" t="s">
        <v>35</v>
      </c>
      <c r="B3" s="5" t="s">
        <v>31</v>
      </c>
      <c r="C3" s="5" t="s">
        <v>36</v>
      </c>
      <c r="D3" s="5" t="s">
        <v>37</v>
      </c>
      <c r="E3" s="5" t="s">
        <v>34</v>
      </c>
      <c r="F3" s="6">
        <v>42</v>
      </c>
    </row>
    <row r="4" spans="1:6" ht="14.25" customHeight="1" x14ac:dyDescent="0.3">
      <c r="A4" s="5" t="s">
        <v>38</v>
      </c>
      <c r="B4" s="5" t="s">
        <v>31</v>
      </c>
      <c r="C4" s="5" t="s">
        <v>39</v>
      </c>
      <c r="D4" s="5" t="s">
        <v>37</v>
      </c>
      <c r="E4" s="5" t="s">
        <v>34</v>
      </c>
      <c r="F4" s="6">
        <v>21.8</v>
      </c>
    </row>
    <row r="5" spans="1:6" ht="14.25" customHeight="1" x14ac:dyDescent="0.3">
      <c r="A5" s="5" t="s">
        <v>40</v>
      </c>
      <c r="B5" s="5" t="s">
        <v>31</v>
      </c>
      <c r="C5" s="5" t="s">
        <v>41</v>
      </c>
      <c r="D5" s="5" t="s">
        <v>37</v>
      </c>
      <c r="E5" s="5" t="s">
        <v>34</v>
      </c>
      <c r="F5" s="6">
        <v>20</v>
      </c>
    </row>
    <row r="6" spans="1:6" ht="14.25" customHeight="1" x14ac:dyDescent="0.3">
      <c r="A6" s="5" t="s">
        <v>42</v>
      </c>
      <c r="B6" s="5" t="s">
        <v>31</v>
      </c>
      <c r="C6" s="5" t="s">
        <v>43</v>
      </c>
      <c r="D6" s="5" t="s">
        <v>37</v>
      </c>
      <c r="E6" s="5" t="s">
        <v>44</v>
      </c>
      <c r="F6" s="6">
        <v>19.8</v>
      </c>
    </row>
    <row r="7" spans="1:6" ht="14.25" customHeight="1" x14ac:dyDescent="0.3">
      <c r="A7" s="5" t="s">
        <v>45</v>
      </c>
      <c r="B7" s="5" t="s">
        <v>46</v>
      </c>
      <c r="C7" s="5" t="s">
        <v>47</v>
      </c>
      <c r="D7" s="5" t="s">
        <v>37</v>
      </c>
      <c r="E7" s="5" t="s">
        <v>48</v>
      </c>
      <c r="F7" s="6">
        <v>140</v>
      </c>
    </row>
    <row r="8" spans="1:6" ht="14.25" customHeight="1" x14ac:dyDescent="0.3">
      <c r="A8" s="5" t="s">
        <v>49</v>
      </c>
      <c r="B8" s="5" t="s">
        <v>46</v>
      </c>
      <c r="C8" s="5" t="s">
        <v>50</v>
      </c>
      <c r="D8" s="5" t="s">
        <v>37</v>
      </c>
      <c r="E8" s="5" t="s">
        <v>48</v>
      </c>
      <c r="F8" s="6">
        <v>40</v>
      </c>
    </row>
    <row r="9" spans="1:6" ht="14.25" customHeight="1" x14ac:dyDescent="0.3">
      <c r="A9" s="5" t="s">
        <v>51</v>
      </c>
      <c r="B9" s="5" t="s">
        <v>46</v>
      </c>
      <c r="C9" s="5" t="s">
        <v>52</v>
      </c>
      <c r="D9" s="5" t="s">
        <v>53</v>
      </c>
      <c r="E9" s="5" t="s">
        <v>48</v>
      </c>
      <c r="F9" s="6">
        <v>130</v>
      </c>
    </row>
    <row r="10" spans="1:6" ht="14.25" customHeight="1" x14ac:dyDescent="0.3">
      <c r="A10" s="5" t="s">
        <v>54</v>
      </c>
      <c r="B10" s="5" t="s">
        <v>46</v>
      </c>
      <c r="C10" s="5" t="s">
        <v>55</v>
      </c>
      <c r="D10" s="5" t="s">
        <v>53</v>
      </c>
      <c r="E10" s="5" t="s">
        <v>48</v>
      </c>
      <c r="F10" s="6">
        <v>45</v>
      </c>
    </row>
    <row r="11" spans="1:6" ht="14.25" customHeight="1" x14ac:dyDescent="0.3">
      <c r="A11" s="5" t="s">
        <v>56</v>
      </c>
      <c r="B11" s="5" t="s">
        <v>57</v>
      </c>
      <c r="C11" s="5" t="s">
        <v>58</v>
      </c>
      <c r="D11" s="5" t="s">
        <v>53</v>
      </c>
      <c r="E11" s="5" t="s">
        <v>48</v>
      </c>
      <c r="F11" s="6">
        <v>100</v>
      </c>
    </row>
  </sheetData>
  <dataValidations count="2">
    <dataValidation type="list" errorTitle="Cultivo invalido" error="Valor invalido. Debe ser arandano, limon o cana." sqref="B2:B200">
      <formula1>"arandano,limon,cana"</formula1>
      <formula2>0</formula2>
    </dataValidation>
    <dataValidation type="list" errorTitle="Entidad invalida" error="Valor invalido. Debe ser PDJ, Fruit Crop o Greenpack." sqref="D2:D200">
      <formula1>"PDJ,Fruit Crop,Greenpack"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zoomScaleNormal="100" workbookViewId="0">
      <pane ySplit="1" topLeftCell="A2" activePane="bottomLeft" state="frozen"/>
      <selection pane="bottomLeft" activeCell="J5" sqref="J5"/>
    </sheetView>
  </sheetViews>
  <sheetFormatPr baseColWidth="10" defaultColWidth="8.6640625" defaultRowHeight="14.4" x14ac:dyDescent="0.3"/>
  <cols>
    <col min="1" max="1" width="12" style="2" customWidth="1"/>
    <col min="2" max="4" width="11" style="2" customWidth="1"/>
    <col min="5" max="5" width="12.6640625" style="2" bestFit="1" customWidth="1"/>
    <col min="6" max="6" width="14.21875" style="2" bestFit="1" customWidth="1"/>
    <col min="7" max="7" width="13.21875" style="2" bestFit="1" customWidth="1"/>
    <col min="8" max="8" width="16" style="2" customWidth="1"/>
    <col min="9" max="9" width="18.109375" style="2" customWidth="1"/>
    <col min="10" max="10" width="14" style="2" customWidth="1"/>
    <col min="11" max="11" width="17" style="2" customWidth="1"/>
    <col min="12" max="12" width="14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24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</row>
    <row r="2" spans="1:21" ht="14.25" customHeight="1" x14ac:dyDescent="0.3">
      <c r="A2" s="5" t="s">
        <v>30</v>
      </c>
      <c r="B2" s="8">
        <v>2026</v>
      </c>
      <c r="C2" s="9">
        <v>702372</v>
      </c>
      <c r="D2" s="10">
        <f>IF(C2="","",C2/VLOOKUP(A2,Campos!$A:$F,6,FALSE()))</f>
        <v>9062.8645161290315</v>
      </c>
      <c r="E2" s="9">
        <v>12000</v>
      </c>
      <c r="F2" s="11">
        <f>IF(OR(D2="",G2=""),"",D2*G2)</f>
        <v>50661.412645161283</v>
      </c>
      <c r="G2" s="12">
        <v>5.59</v>
      </c>
      <c r="H2" s="9">
        <v>3432</v>
      </c>
      <c r="I2" s="9">
        <v>6</v>
      </c>
      <c r="J2" s="5" t="s">
        <v>79</v>
      </c>
      <c r="K2" s="13">
        <v>0.45</v>
      </c>
      <c r="L2" s="5" t="s">
        <v>80</v>
      </c>
      <c r="M2" s="13">
        <v>0.35</v>
      </c>
      <c r="N2" s="5" t="s">
        <v>81</v>
      </c>
      <c r="O2" s="13">
        <v>0.2</v>
      </c>
      <c r="P2" s="5"/>
      <c r="Q2" s="13"/>
      <c r="R2" s="5"/>
      <c r="S2" s="13"/>
      <c r="T2" s="5"/>
      <c r="U2" s="13"/>
    </row>
    <row r="3" spans="1:21" ht="14.25" customHeight="1" x14ac:dyDescent="0.3">
      <c r="A3" s="5" t="s">
        <v>35</v>
      </c>
      <c r="B3" s="8">
        <v>2026</v>
      </c>
      <c r="C3" s="9">
        <v>382194</v>
      </c>
      <c r="D3" s="10">
        <f>IF(C3="","",C3/VLOOKUP(A3,Campos!$A:$F,6,FALSE()))</f>
        <v>9099.8571428571431</v>
      </c>
      <c r="E3" s="9">
        <v>11500</v>
      </c>
      <c r="F3" s="11">
        <f>IF(OR(D3="",G3=""),"",D3*G3)</f>
        <v>53143.165714285715</v>
      </c>
      <c r="G3" s="12">
        <v>5.84</v>
      </c>
      <c r="H3" s="9">
        <v>3286</v>
      </c>
      <c r="I3" s="9">
        <v>4</v>
      </c>
      <c r="J3" s="5" t="s">
        <v>79</v>
      </c>
      <c r="K3" s="13">
        <v>0.4</v>
      </c>
      <c r="L3" s="5" t="s">
        <v>82</v>
      </c>
      <c r="M3" s="13">
        <v>0.35</v>
      </c>
      <c r="N3" s="5" t="s">
        <v>83</v>
      </c>
      <c r="O3" s="13">
        <v>0.25</v>
      </c>
      <c r="P3" s="5"/>
      <c r="Q3" s="13"/>
      <c r="R3" s="5"/>
      <c r="S3" s="13"/>
      <c r="T3" s="5"/>
      <c r="U3" s="13"/>
    </row>
    <row r="4" spans="1:21" ht="14.25" customHeight="1" x14ac:dyDescent="0.3">
      <c r="A4" s="5" t="s">
        <v>38</v>
      </c>
      <c r="B4" s="8">
        <v>2026</v>
      </c>
      <c r="C4" s="9">
        <v>201890</v>
      </c>
      <c r="D4" s="10">
        <f>IF(C4="","",C4/VLOOKUP(A4,Campos!$A:$F,6,FALSE()))</f>
        <v>9261.0091743119265</v>
      </c>
      <c r="E4" s="9">
        <v>13000</v>
      </c>
      <c r="F4" s="11">
        <f>IF(OR(D4="",G4=""),"",D4*G4)</f>
        <v>55936.495412844037</v>
      </c>
      <c r="G4" s="12">
        <v>6.04</v>
      </c>
      <c r="H4" s="9">
        <v>4495</v>
      </c>
      <c r="I4" s="9">
        <v>9</v>
      </c>
      <c r="J4" s="5" t="s">
        <v>79</v>
      </c>
      <c r="K4" s="13">
        <v>0.6</v>
      </c>
      <c r="L4" s="5" t="s">
        <v>81</v>
      </c>
      <c r="M4" s="13">
        <v>0.4</v>
      </c>
      <c r="N4" s="5"/>
      <c r="O4" s="13"/>
      <c r="P4" s="5"/>
      <c r="Q4" s="13"/>
      <c r="R4" s="5"/>
      <c r="S4" s="13"/>
      <c r="T4" s="5"/>
      <c r="U4" s="13"/>
    </row>
    <row r="5" spans="1:21" ht="14.25" customHeight="1" x14ac:dyDescent="0.3">
      <c r="A5" s="5" t="s">
        <v>40</v>
      </c>
      <c r="B5" s="8">
        <v>2026</v>
      </c>
      <c r="C5" s="9">
        <v>64800</v>
      </c>
      <c r="D5" s="10">
        <f>IF(C5="","",C5/VLOOKUP(A5,Campos!$A:$F,6,FALSE()))</f>
        <v>3240</v>
      </c>
      <c r="E5" s="9">
        <v>12500</v>
      </c>
      <c r="F5" s="11">
        <f>IF(OR(D5="",G5=""),"",D5*G5)</f>
        <v>14515.2</v>
      </c>
      <c r="G5" s="12">
        <v>4.4800000000000004</v>
      </c>
      <c r="H5" s="9">
        <v>500</v>
      </c>
      <c r="I5" s="9">
        <v>1</v>
      </c>
      <c r="J5" s="5" t="s">
        <v>82</v>
      </c>
      <c r="K5" s="13">
        <v>0.4</v>
      </c>
      <c r="L5" s="5" t="s">
        <v>83</v>
      </c>
      <c r="M5" s="13">
        <v>0.35</v>
      </c>
      <c r="N5" s="5" t="s">
        <v>80</v>
      </c>
      <c r="O5" s="13">
        <v>0.25</v>
      </c>
      <c r="P5" s="5"/>
      <c r="Q5" s="13"/>
      <c r="R5" s="5"/>
      <c r="S5" s="13"/>
      <c r="T5" s="5"/>
      <c r="U5" s="13"/>
    </row>
    <row r="6" spans="1:21" ht="14.25" customHeight="1" x14ac:dyDescent="0.3">
      <c r="A6" s="5" t="s">
        <v>42</v>
      </c>
      <c r="B6" s="8">
        <v>2026</v>
      </c>
      <c r="C6" s="9">
        <v>244489</v>
      </c>
      <c r="D6" s="10">
        <f>IF(C6="","",C6/VLOOKUP(A6,Campos!$A:$F,6,FALSE()))</f>
        <v>12347.929292929293</v>
      </c>
      <c r="E6" s="9">
        <v>11000</v>
      </c>
      <c r="F6" s="11">
        <f>IF(OR(D6="",G6=""),"",D6*G6)</f>
        <v>53960.451010101016</v>
      </c>
      <c r="G6" s="12">
        <v>4.37</v>
      </c>
      <c r="H6" s="9">
        <v>3283</v>
      </c>
      <c r="I6" s="9">
        <v>3</v>
      </c>
      <c r="J6" s="5" t="s">
        <v>79</v>
      </c>
      <c r="K6" s="13">
        <v>0.3</v>
      </c>
      <c r="L6" s="5" t="s">
        <v>80</v>
      </c>
      <c r="M6" s="13">
        <v>0.3</v>
      </c>
      <c r="N6" s="5" t="s">
        <v>83</v>
      </c>
      <c r="O6" s="13">
        <v>0.25</v>
      </c>
      <c r="P6" s="5" t="s">
        <v>84</v>
      </c>
      <c r="Q6" s="13">
        <v>0.15</v>
      </c>
      <c r="R6" s="5"/>
      <c r="S6" s="13"/>
      <c r="T6" s="5"/>
      <c r="U6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tabSelected="1"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2" customWidth="1"/>
    <col min="2" max="4" width="11" style="2" customWidth="1"/>
    <col min="5" max="5" width="12.6640625" style="2" bestFit="1" customWidth="1"/>
    <col min="6" max="6" width="14.21875" style="2" bestFit="1" customWidth="1"/>
    <col min="7" max="7" width="12" style="2" customWidth="1"/>
    <col min="8" max="8" width="16" style="2" customWidth="1"/>
    <col min="9" max="9" width="17" style="2" customWidth="1"/>
    <col min="10" max="10" width="10" style="2" customWidth="1"/>
    <col min="11" max="11" width="17" style="2" customWidth="1"/>
    <col min="12" max="12" width="10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24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</row>
    <row r="2" spans="1:21" ht="14.25" customHeight="1" x14ac:dyDescent="0.3">
      <c r="A2" s="5" t="s">
        <v>45</v>
      </c>
      <c r="B2" s="8">
        <v>2026</v>
      </c>
      <c r="C2" s="9">
        <v>4515420</v>
      </c>
      <c r="D2" s="10">
        <f>IF(C2="","",C2/VLOOKUP(A2,Campos!$A:$F,6,FALSE()))</f>
        <v>32253</v>
      </c>
      <c r="E2" s="9">
        <v>4200</v>
      </c>
      <c r="F2" s="11">
        <f>IF(OR(D2="",G2=""),"",D2*G2)</f>
        <v>18835.752</v>
      </c>
      <c r="G2" s="12">
        <v>0.58399999999999996</v>
      </c>
      <c r="H2" s="9">
        <v>474</v>
      </c>
      <c r="I2" s="9">
        <v>14</v>
      </c>
      <c r="J2" s="5" t="s">
        <v>85</v>
      </c>
      <c r="K2" s="13">
        <v>0.7</v>
      </c>
      <c r="L2" s="5" t="s">
        <v>86</v>
      </c>
      <c r="M2" s="13">
        <v>0.3</v>
      </c>
      <c r="N2" s="5"/>
      <c r="O2" s="13"/>
      <c r="P2" s="5"/>
      <c r="Q2" s="13"/>
      <c r="R2" s="5"/>
      <c r="S2" s="13"/>
      <c r="T2" s="5"/>
      <c r="U2" s="13"/>
    </row>
    <row r="3" spans="1:21" ht="14.25" customHeight="1" x14ac:dyDescent="0.3">
      <c r="A3" s="5" t="s">
        <v>49</v>
      </c>
      <c r="B3" s="8">
        <v>2026</v>
      </c>
      <c r="C3" s="9">
        <v>1108688</v>
      </c>
      <c r="D3" s="10">
        <f>IF(C3="","",C3/VLOOKUP(A3,Campos!$A:$F,6,FALSE()))</f>
        <v>27717.200000000001</v>
      </c>
      <c r="E3" s="9">
        <v>6000</v>
      </c>
      <c r="F3" s="11">
        <f>IF(OR(D3="",G3=""),"",D3*G3)</f>
        <v>16186.844799999999</v>
      </c>
      <c r="G3" s="12">
        <v>0.58399999999999996</v>
      </c>
      <c r="H3" s="9">
        <v>413</v>
      </c>
      <c r="I3" s="9">
        <v>22</v>
      </c>
      <c r="J3" s="5" t="s">
        <v>85</v>
      </c>
      <c r="K3" s="13">
        <v>0.6</v>
      </c>
      <c r="L3" s="5" t="s">
        <v>87</v>
      </c>
      <c r="M3" s="13">
        <v>0.4</v>
      </c>
      <c r="N3" s="5"/>
      <c r="O3" s="13"/>
      <c r="P3" s="5"/>
      <c r="Q3" s="13"/>
      <c r="R3" s="5"/>
      <c r="S3" s="13"/>
      <c r="T3" s="5"/>
      <c r="U3" s="13"/>
    </row>
    <row r="4" spans="1:21" ht="14.25" customHeight="1" x14ac:dyDescent="0.3">
      <c r="A4" s="5" t="s">
        <v>51</v>
      </c>
      <c r="B4" s="8">
        <v>2026</v>
      </c>
      <c r="C4" s="9">
        <v>2761449</v>
      </c>
      <c r="D4" s="10">
        <f>IF(C4="","",C4/VLOOKUP(A4,Campos!$A:$F,6,FALSE()))</f>
        <v>21241.915384615386</v>
      </c>
      <c r="E4" s="9">
        <v>5000</v>
      </c>
      <c r="F4" s="11">
        <f>IF(OR(D4="",G4=""),"",D4*G4)</f>
        <v>12405.278584615384</v>
      </c>
      <c r="G4" s="12">
        <v>0.58399999999999996</v>
      </c>
      <c r="H4" s="9">
        <v>373</v>
      </c>
      <c r="I4" s="9">
        <v>11</v>
      </c>
      <c r="J4" s="5" t="s">
        <v>85</v>
      </c>
      <c r="K4" s="13">
        <v>0.5</v>
      </c>
      <c r="L4" s="5" t="s">
        <v>86</v>
      </c>
      <c r="M4" s="13">
        <v>0.3</v>
      </c>
      <c r="N4" s="5" t="s">
        <v>87</v>
      </c>
      <c r="O4" s="13">
        <v>0.2</v>
      </c>
      <c r="P4" s="5"/>
      <c r="Q4" s="13"/>
      <c r="R4" s="5"/>
      <c r="S4" s="13"/>
      <c r="T4" s="5"/>
      <c r="U4" s="13"/>
    </row>
    <row r="5" spans="1:21" ht="14.25" customHeight="1" x14ac:dyDescent="0.3">
      <c r="A5" s="5" t="s">
        <v>54</v>
      </c>
      <c r="B5" s="8">
        <v>2026</v>
      </c>
      <c r="C5" s="9">
        <v>213847</v>
      </c>
      <c r="D5" s="10">
        <f>IF(C5="","",C5/VLOOKUP(A5,Campos!$A:$F,6,FALSE()))</f>
        <v>4752.1555555555551</v>
      </c>
      <c r="E5" s="9">
        <v>4550</v>
      </c>
      <c r="F5" s="11">
        <f>IF(OR(D5="",G5=""),"",D5*G5)</f>
        <v>2775.2588444444441</v>
      </c>
      <c r="G5" s="12">
        <v>0.58399999999999996</v>
      </c>
      <c r="H5" s="9">
        <v>309</v>
      </c>
      <c r="I5" s="9">
        <v>8</v>
      </c>
      <c r="J5" s="5" t="s">
        <v>85</v>
      </c>
      <c r="K5" s="13">
        <v>0.65</v>
      </c>
      <c r="L5" s="5" t="s">
        <v>86</v>
      </c>
      <c r="M5" s="13">
        <v>0.35</v>
      </c>
      <c r="N5" s="5"/>
      <c r="O5" s="13"/>
      <c r="P5" s="5"/>
      <c r="Q5" s="13"/>
      <c r="R5" s="5"/>
      <c r="S5" s="13"/>
      <c r="T5" s="5"/>
      <c r="U5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2" customWidth="1"/>
    <col min="2" max="5" width="11" style="2" customWidth="1"/>
    <col min="6" max="6" width="13" style="2" customWidth="1"/>
    <col min="7" max="7" width="12" style="2" customWidth="1"/>
    <col min="8" max="8" width="16" style="2" customWidth="1"/>
    <col min="9" max="9" width="17" style="2" customWidth="1"/>
    <col min="10" max="10" width="10" style="2" customWidth="1"/>
    <col min="11" max="11" width="17" style="2" customWidth="1"/>
    <col min="12" max="12" width="10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24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</row>
    <row r="2" spans="1:21" ht="14.25" customHeight="1" x14ac:dyDescent="0.3">
      <c r="A2" s="5" t="s">
        <v>56</v>
      </c>
      <c r="B2" s="8">
        <v>2026</v>
      </c>
      <c r="C2" s="9">
        <v>0</v>
      </c>
      <c r="D2" s="10">
        <f>IF(C2="","",C2/VLOOKUP(A2,Campos!$A:$F,6,FALSE()))</f>
        <v>0</v>
      </c>
      <c r="E2" s="9">
        <v>0</v>
      </c>
      <c r="F2" s="11">
        <f>IF(OR(D2="",G2=""),"",D2*G2)</f>
        <v>0</v>
      </c>
      <c r="G2" s="12">
        <v>0</v>
      </c>
      <c r="H2" s="9"/>
      <c r="I2" s="9">
        <v>3</v>
      </c>
      <c r="J2" s="5"/>
      <c r="K2" s="13"/>
      <c r="L2" s="5"/>
      <c r="M2" s="13"/>
      <c r="N2" s="5"/>
      <c r="O2" s="13"/>
      <c r="P2" s="5"/>
      <c r="Q2" s="13"/>
      <c r="R2" s="5"/>
      <c r="S2" s="13"/>
      <c r="T2" s="5"/>
      <c r="U2" s="1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Campos</vt:lpstr>
      <vt:lpstr>Arandano 2026</vt:lpstr>
      <vt:lpstr>Limon 2026</vt:lpstr>
      <vt:lpstr>Cana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sbaya</cp:lastModifiedBy>
  <cp:revision>0</cp:revision>
  <dcterms:created xsi:type="dcterms:W3CDTF">2026-04-21T18:33:39Z</dcterms:created>
  <dcterms:modified xsi:type="dcterms:W3CDTF">2026-04-22T11:35:47Z</dcterms:modified>
  <dc:language>en-US</dc:language>
</cp:coreProperties>
</file>