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baya\Downloads\"/>
    </mc:Choice>
  </mc:AlternateContent>
  <bookViews>
    <workbookView xWindow="0" yWindow="0" windowWidth="16380" windowHeight="8196" tabRatio="500" firstSheet="1" activeTab="6"/>
  </bookViews>
  <sheets>
    <sheet name="Instrucciones" sheetId="1" r:id="rId1"/>
    <sheet name="Campos" sheetId="2" r:id="rId2"/>
    <sheet name="Arandano 2026" sheetId="3" r:id="rId3"/>
    <sheet name="Limon 2026" sheetId="4" r:id="rId4"/>
    <sheet name="Cana 2026" sheetId="5" r:id="rId5"/>
    <sheet name="Plantaciones" sheetId="6" r:id="rId6"/>
    <sheet name="Curvas_rinde" sheetId="7" r:id="rId7"/>
  </sheets>
  <calcPr calcId="162913"/>
</workbook>
</file>

<file path=xl/calcChain.xml><?xml version="1.0" encoding="utf-8"?>
<calcChain xmlns="http://schemas.openxmlformats.org/spreadsheetml/2006/main">
  <c r="D2" i="5" l="1"/>
  <c r="F2" i="5" s="1"/>
  <c r="D5" i="4"/>
  <c r="F5" i="4" s="1"/>
  <c r="F4" i="4"/>
  <c r="D4" i="4"/>
  <c r="D3" i="4"/>
  <c r="F3" i="4" s="1"/>
  <c r="D2" i="4"/>
  <c r="F2" i="4" s="1"/>
  <c r="D6" i="3"/>
  <c r="F6" i="3" s="1"/>
  <c r="F5" i="3"/>
  <c r="D5" i="3"/>
  <c r="D4" i="3"/>
  <c r="F4" i="3" s="1"/>
  <c r="D3" i="3"/>
  <c r="F3" i="3" s="1"/>
  <c r="D2" i="3"/>
  <c r="F2" i="3" s="1"/>
</calcChain>
</file>

<file path=xl/sharedStrings.xml><?xml version="1.0" encoding="utf-8"?>
<sst xmlns="http://schemas.openxmlformats.org/spreadsheetml/2006/main" count="259" uniqueCount="124">
  <si>
    <t>Panel Early Crop - Archivo de carga de datos</t>
  </si>
  <si>
    <t>Este archivo alimenta el panel de campos. Esta estructurado en hojas:</t>
  </si>
  <si>
    <t>• Campos - Catalogo maestro. Se edita cuando se agrega o modifica un campo.</t>
  </si>
  <si>
    <t>• Arandano YYYY - Datos productivos y economicos del arandano por temporada.</t>
  </si>
  <si>
    <t>• Limon YYYY - Idem limon.</t>
  </si>
  <si>
    <t>• Cana YYYY - Idem cana de azucar.</t>
  </si>
  <si>
    <t>Como agregar una nueva temporada:</t>
  </si>
  <si>
    <t xml:space="preserve">  1. Duplicar la hoja de la temporada anterior del cultivo.</t>
  </si>
  <si>
    <t xml:space="preserve">  2. Cambiar el nombre a "CULTIVO YYYY" (ej. "Arandano 2027").</t>
  </si>
  <si>
    <t xml:space="preserve">  3. Actualizar la columna "temporada" a YYYY.</t>
  </si>
  <si>
    <t xml:space="preserve">  4. Cargar los valores reales de la nueva temporada.</t>
  </si>
  <si>
    <t>Como agregar un campo nuevo:</t>
  </si>
  <si>
    <t xml:space="preserve">  1. Agregar fila en la hoja Campos con un id nuevo (ej. AR06).</t>
  </si>
  <si>
    <t xml:space="preserve">  2. Agregar fila en la hoja de temporada del cultivo correspondiente.</t>
  </si>
  <si>
    <t>Convenciones:</t>
  </si>
  <si>
    <t xml:space="preserve">  • Valores monetarios en dolares (USD).</t>
  </si>
  <si>
    <t xml:space="preserve">  • kg_totales es INPUT (cargar manualmente). kg_ha se calcula automaticamente (kg_totales / hectareas).</t>
  </si>
  <si>
    <t xml:space="preserve">  • Porcentajes de variedades deben sumar 100% por campo.</t>
  </si>
  <si>
    <t xml:space="preserve">  • Celdas en azul son inputs (se cargan manualmente).</t>
  </si>
  <si>
    <t xml:space="preserve">  • IDs de campo tienen prefijo por cultivo: AR = arandano, LM = limon, CA = cana.</t>
  </si>
  <si>
    <t xml:space="preserve">  • No usar tildes ni caracteres especiales en nombres de hojas.</t>
  </si>
  <si>
    <t>Validaciones activas:</t>
  </si>
  <si>
    <t xml:space="preserve">  • En Campos: cultivo (arandano/limon/cana) y entidad (PDJ/Fruit Crop/Greenpack).</t>
  </si>
  <si>
    <t xml:space="preserve">  • En hojas de temporada: id_campo se valida contra la hoja Campos.</t>
  </si>
  <si>
    <t>─── Plantación ───</t>
  </si>
  <si>
    <t>• Plantaciones — Programa de plantación/recambio por campo y año.</t>
  </si>
  <si>
    <t xml:space="preserve">  Cada fila es un bloque plantado en un año determinado.</t>
  </si>
  <si>
    <t xml:space="preserve">  tipo: nueva (ha netas agregadas) o recambio (reemplazo de variedad).</t>
  </si>
  <si>
    <t xml:space="preserve">  variedad: "por definir" si aún no hay decisión; opciones: Tafi, Slender, Naike, Moya, Pampa.</t>
  </si>
  <si>
    <t>• Curvas_rinde — kg/ha por año desde la plantación para cada variedad.</t>
  </si>
  <si>
    <t xml:space="preserve">  Año 1-2 = 0 (crecimiento).</t>
  </si>
  <si>
    <t xml:space="preserve">  Año 3 = primera cosecha chica.</t>
  </si>
  <si>
    <t xml:space="preserve">  Año 4 en adelante = pico productivo y declive posterior.</t>
  </si>
  <si>
    <t xml:space="preserve">  Editar aquí para ajustar la proyección del panel.</t>
  </si>
  <si>
    <t>id_campo</t>
  </si>
  <si>
    <t>cultivo</t>
  </si>
  <si>
    <t>nombre</t>
  </si>
  <si>
    <t>entidad</t>
  </si>
  <si>
    <t>agronomo</t>
  </si>
  <si>
    <t>hectareas</t>
  </si>
  <si>
    <t>AR01</t>
  </si>
  <si>
    <t>arandano</t>
  </si>
  <si>
    <t>PDJ Sgto. Moya</t>
  </si>
  <si>
    <t>PDJ</t>
  </si>
  <si>
    <t>Carlino</t>
  </si>
  <si>
    <t>AR02</t>
  </si>
  <si>
    <t>La Loma</t>
  </si>
  <si>
    <t>Fruit Crop</t>
  </si>
  <si>
    <t>AR03</t>
  </si>
  <si>
    <t>La Angostura</t>
  </si>
  <si>
    <t>AR04</t>
  </si>
  <si>
    <t>El Molino</t>
  </si>
  <si>
    <t>AR05</t>
  </si>
  <si>
    <t>Palma Sola</t>
  </si>
  <si>
    <t>Modernel</t>
  </si>
  <si>
    <t>AR06</t>
  </si>
  <si>
    <t>Orlando</t>
  </si>
  <si>
    <t>LM01</t>
  </si>
  <si>
    <t>limon</t>
  </si>
  <si>
    <t>Yaquilo</t>
  </si>
  <si>
    <t>Casadei</t>
  </si>
  <si>
    <t>LM02</t>
  </si>
  <si>
    <t>Casanova</t>
  </si>
  <si>
    <t>LM03</t>
  </si>
  <si>
    <t>Tajamar</t>
  </si>
  <si>
    <t>Greenpack</t>
  </si>
  <si>
    <t>LM04</t>
  </si>
  <si>
    <t>Monte Grande</t>
  </si>
  <si>
    <t>CA01</t>
  </si>
  <si>
    <t>cana</t>
  </si>
  <si>
    <t>Cana de Azucar</t>
  </si>
  <si>
    <t>temporada</t>
  </si>
  <si>
    <t>kg_totales</t>
  </si>
  <si>
    <t>kg_ha</t>
  </si>
  <si>
    <t>costo_ha_usd</t>
  </si>
  <si>
    <t>ingreso_ha_usd</t>
  </si>
  <si>
    <t>precio_kg_usd</t>
  </si>
  <si>
    <t>plantas_ha</t>
  </si>
  <si>
    <t>edad_plantacion</t>
  </si>
  <si>
    <t>variedad_1_nombre</t>
  </si>
  <si>
    <t>variedad_1_pct</t>
  </si>
  <si>
    <t>variedad_2_nombre</t>
  </si>
  <si>
    <t>variedad_2_pct</t>
  </si>
  <si>
    <t>variedad_3_nombre</t>
  </si>
  <si>
    <t>variedad_3_pct</t>
  </si>
  <si>
    <t>variedad_4_nombre</t>
  </si>
  <si>
    <t>variedad_4_pct</t>
  </si>
  <si>
    <t>variedad_5_nombre</t>
  </si>
  <si>
    <t>variedad_5_pct</t>
  </si>
  <si>
    <t>variedad_6_nombre</t>
  </si>
  <si>
    <t>variedad_6_pct</t>
  </si>
  <si>
    <t>Emerald</t>
  </si>
  <si>
    <t>Slender</t>
  </si>
  <si>
    <t>Biloxi</t>
  </si>
  <si>
    <t>Tafi</t>
  </si>
  <si>
    <t>Snowchaser</t>
  </si>
  <si>
    <t>Naike</t>
  </si>
  <si>
    <t>Eureka</t>
  </si>
  <si>
    <t>Genova</t>
  </si>
  <si>
    <t>Lisbon</t>
  </si>
  <si>
    <t>año</t>
  </si>
  <si>
    <t>tipo</t>
  </si>
  <si>
    <t>variedad</t>
  </si>
  <si>
    <t>pct_variedad</t>
  </si>
  <si>
    <t>nueva</t>
  </si>
  <si>
    <t>por definir</t>
  </si>
  <si>
    <t>recambio</t>
  </si>
  <si>
    <t>año_1</t>
  </si>
  <si>
    <t>año_2</t>
  </si>
  <si>
    <t>año_3</t>
  </si>
  <si>
    <t>año_4</t>
  </si>
  <si>
    <t>año_5</t>
  </si>
  <si>
    <t>año_6</t>
  </si>
  <si>
    <t>año_7</t>
  </si>
  <si>
    <t>año_8</t>
  </si>
  <si>
    <t>año_9</t>
  </si>
  <si>
    <t>año_10</t>
  </si>
  <si>
    <t>año_11</t>
  </si>
  <si>
    <t>año_12</t>
  </si>
  <si>
    <t>año_13</t>
  </si>
  <si>
    <t>año_14</t>
  </si>
  <si>
    <t>año_15</t>
  </si>
  <si>
    <t>Moya</t>
  </si>
  <si>
    <t>Pampa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</si>
</sst>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\$#,##0.00"/>
    <numFmt numFmtId="166" formatCode="\$#,##0.000"/>
    <numFmt numFmtId="167" formatCode="0.0%"/>
  </numFmts>
  <fonts count="7" x14ac:knownFonts="1">
    <font>
      <sz val="11"/>
      <color theme="1"/>
      <name val="Calibri"/>
      <family val="2"/>
      <charset val="1"/>
    </font>
    <font>
      <b/>
      <sz val="16"/>
      <color rgb="FF1F3A66"/>
      <name val="Calibri"/>
      <charset val="1"/>
    </font>
    <font>
      <sz val="11"/>
      <color rgb="FF333333"/>
      <name val="Calibri"/>
      <charset val="1"/>
    </font>
    <font>
      <b/>
      <sz val="11"/>
      <color rgb="FFFFFFFF"/>
      <name val="Calibri"/>
      <charset val="1"/>
    </font>
    <font>
      <sz val="11"/>
      <color rgb="FF0000FF"/>
      <name val="Calibri"/>
      <charset val="1"/>
    </font>
    <font>
      <sz val="11"/>
      <color rgb="FF000000"/>
      <name val="Calibri"/>
      <charset val="1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66"/>
        <bgColor rgb="FF333399"/>
      </patternFill>
    </fill>
    <fill>
      <patternFill patternType="solid">
        <fgColor rgb="FF4A6A9E"/>
        <bgColor rgb="FF3366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9">
    <xf numFmtId="0" fontId="0" fillId="0" borderId="0" xfId="0" applyAlignment="1"/>
    <xf numFmtId="0" fontId="0" fillId="0" borderId="0" xfId="0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9" fontId="4" fillId="0" borderId="1" xfId="0" applyNumberFormat="1" applyFont="1" applyBorder="1" applyAlignment="1">
      <alignment horizontal="right" vertical="center"/>
    </xf>
    <xf numFmtId="0" fontId="1" fillId="0" borderId="0" xfId="0" applyFont="1" applyAlignment="1"/>
    <xf numFmtId="0" fontId="0" fillId="0" borderId="0" xfId="0" applyAlignment="1"/>
    <xf numFmtId="3" fontId="6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A9E"/>
      <rgbColor rgb="FF969696"/>
      <rgbColor rgb="FF1F3A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zoomScaleNormal="100" workbookViewId="0"/>
  </sheetViews>
  <sheetFormatPr baseColWidth="10" defaultColWidth="8.6640625" defaultRowHeight="14.4" x14ac:dyDescent="0.3"/>
  <cols>
    <col min="1" max="1" width="85" style="1" customWidth="1"/>
  </cols>
  <sheetData>
    <row r="1" spans="1:6" ht="21" customHeight="1" x14ac:dyDescent="0.4">
      <c r="A1" s="16" t="s">
        <v>0</v>
      </c>
      <c r="B1" s="17"/>
      <c r="C1" s="17"/>
      <c r="D1" s="17"/>
      <c r="E1" s="17"/>
      <c r="F1" s="17"/>
    </row>
    <row r="2" spans="1:6" ht="14.25" customHeight="1" x14ac:dyDescent="0.3">
      <c r="A2" s="2"/>
    </row>
    <row r="3" spans="1:6" ht="14.25" customHeight="1" x14ac:dyDescent="0.3">
      <c r="A3" s="2" t="s">
        <v>1</v>
      </c>
    </row>
    <row r="4" spans="1:6" ht="14.25" customHeight="1" x14ac:dyDescent="0.3">
      <c r="A4" s="2"/>
    </row>
    <row r="5" spans="1:6" ht="14.25" customHeight="1" x14ac:dyDescent="0.3">
      <c r="A5" s="2" t="s">
        <v>2</v>
      </c>
    </row>
    <row r="6" spans="1:6" ht="14.25" customHeight="1" x14ac:dyDescent="0.3">
      <c r="A6" s="2" t="s">
        <v>3</v>
      </c>
    </row>
    <row r="7" spans="1:6" ht="14.25" customHeight="1" x14ac:dyDescent="0.3">
      <c r="A7" s="2" t="s">
        <v>4</v>
      </c>
    </row>
    <row r="8" spans="1:6" ht="14.25" customHeight="1" x14ac:dyDescent="0.3">
      <c r="A8" s="2" t="s">
        <v>5</v>
      </c>
    </row>
    <row r="9" spans="1:6" ht="14.25" customHeight="1" x14ac:dyDescent="0.3">
      <c r="A9" s="2"/>
    </row>
    <row r="10" spans="1:6" ht="14.25" customHeight="1" x14ac:dyDescent="0.3">
      <c r="A10" s="2" t="s">
        <v>6</v>
      </c>
    </row>
    <row r="11" spans="1:6" ht="14.25" customHeight="1" x14ac:dyDescent="0.3">
      <c r="A11" s="2" t="s">
        <v>7</v>
      </c>
    </row>
    <row r="12" spans="1:6" ht="14.25" customHeight="1" x14ac:dyDescent="0.3">
      <c r="A12" s="2" t="s">
        <v>8</v>
      </c>
    </row>
    <row r="13" spans="1:6" ht="14.25" customHeight="1" x14ac:dyDescent="0.3">
      <c r="A13" s="2" t="s">
        <v>9</v>
      </c>
    </row>
    <row r="14" spans="1:6" ht="14.25" customHeight="1" x14ac:dyDescent="0.3">
      <c r="A14" s="2" t="s">
        <v>10</v>
      </c>
    </row>
    <row r="15" spans="1:6" ht="14.25" customHeight="1" x14ac:dyDescent="0.3">
      <c r="A15" s="2"/>
    </row>
    <row r="16" spans="1:6" ht="14.25" customHeight="1" x14ac:dyDescent="0.3">
      <c r="A16" s="2" t="s">
        <v>11</v>
      </c>
    </row>
    <row r="17" spans="1:1" ht="14.25" customHeight="1" x14ac:dyDescent="0.3">
      <c r="A17" s="2" t="s">
        <v>12</v>
      </c>
    </row>
    <row r="18" spans="1:1" ht="14.25" customHeight="1" x14ac:dyDescent="0.3">
      <c r="A18" s="2" t="s">
        <v>13</v>
      </c>
    </row>
    <row r="19" spans="1:1" ht="14.25" customHeight="1" x14ac:dyDescent="0.3">
      <c r="A19" s="2"/>
    </row>
    <row r="20" spans="1:1" ht="14.25" customHeight="1" x14ac:dyDescent="0.3">
      <c r="A20" s="2" t="s">
        <v>14</v>
      </c>
    </row>
    <row r="21" spans="1:1" ht="14.25" customHeight="1" x14ac:dyDescent="0.3">
      <c r="A21" s="2" t="s">
        <v>15</v>
      </c>
    </row>
    <row r="22" spans="1:1" ht="14.25" customHeight="1" x14ac:dyDescent="0.3">
      <c r="A22" s="2" t="s">
        <v>16</v>
      </c>
    </row>
    <row r="23" spans="1:1" ht="14.25" customHeight="1" x14ac:dyDescent="0.3">
      <c r="A23" s="2" t="s">
        <v>17</v>
      </c>
    </row>
    <row r="24" spans="1:1" ht="14.25" customHeight="1" x14ac:dyDescent="0.3">
      <c r="A24" s="2" t="s">
        <v>18</v>
      </c>
    </row>
    <row r="25" spans="1:1" ht="14.25" customHeight="1" x14ac:dyDescent="0.3">
      <c r="A25" s="2" t="s">
        <v>19</v>
      </c>
    </row>
    <row r="26" spans="1:1" ht="14.25" customHeight="1" x14ac:dyDescent="0.3">
      <c r="A26" s="2" t="s">
        <v>20</v>
      </c>
    </row>
    <row r="27" spans="1:1" ht="14.25" customHeight="1" x14ac:dyDescent="0.3">
      <c r="A27" s="2"/>
    </row>
    <row r="28" spans="1:1" ht="14.25" customHeight="1" x14ac:dyDescent="0.3">
      <c r="A28" s="2" t="s">
        <v>21</v>
      </c>
    </row>
    <row r="29" spans="1:1" ht="14.25" customHeight="1" x14ac:dyDescent="0.3">
      <c r="A29" s="2" t="s">
        <v>22</v>
      </c>
    </row>
    <row r="30" spans="1:1" ht="14.25" customHeight="1" x14ac:dyDescent="0.3">
      <c r="A30" s="2" t="s">
        <v>23</v>
      </c>
    </row>
    <row r="31" spans="1:1" ht="14.25" customHeight="1" x14ac:dyDescent="0.3">
      <c r="A31" s="2"/>
    </row>
    <row r="32" spans="1:1" ht="14.25" customHeight="1" x14ac:dyDescent="0.3">
      <c r="A32" s="2" t="s">
        <v>24</v>
      </c>
    </row>
    <row r="33" spans="1:1" ht="14.25" customHeight="1" x14ac:dyDescent="0.3">
      <c r="A33" s="2"/>
    </row>
    <row r="34" spans="1:1" ht="14.25" customHeight="1" x14ac:dyDescent="0.3">
      <c r="A34" s="2" t="s">
        <v>25</v>
      </c>
    </row>
    <row r="35" spans="1:1" ht="14.25" customHeight="1" x14ac:dyDescent="0.3">
      <c r="A35" s="2" t="s">
        <v>26</v>
      </c>
    </row>
    <row r="36" spans="1:1" ht="14.25" customHeight="1" x14ac:dyDescent="0.3">
      <c r="A36" s="2" t="s">
        <v>27</v>
      </c>
    </row>
    <row r="37" spans="1:1" ht="14.25" customHeight="1" x14ac:dyDescent="0.3">
      <c r="A37" s="2" t="s">
        <v>28</v>
      </c>
    </row>
    <row r="38" spans="1:1" ht="14.25" customHeight="1" x14ac:dyDescent="0.3">
      <c r="A38" s="2"/>
    </row>
    <row r="39" spans="1:1" ht="14.25" customHeight="1" x14ac:dyDescent="0.3">
      <c r="A39" s="2" t="s">
        <v>29</v>
      </c>
    </row>
    <row r="40" spans="1:1" ht="14.25" customHeight="1" x14ac:dyDescent="0.3">
      <c r="A40" s="2" t="s">
        <v>30</v>
      </c>
    </row>
    <row r="41" spans="1:1" ht="14.25" customHeight="1" x14ac:dyDescent="0.3">
      <c r="A41" s="2" t="s">
        <v>31</v>
      </c>
    </row>
    <row r="42" spans="1:1" ht="14.25" customHeight="1" x14ac:dyDescent="0.3">
      <c r="A42" s="2" t="s">
        <v>32</v>
      </c>
    </row>
    <row r="43" spans="1:1" ht="14.25" customHeight="1" x14ac:dyDescent="0.3">
      <c r="A43" s="2" t="s">
        <v>33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Normal="100" workbookViewId="0">
      <pane ySplit="1" topLeftCell="A2" activePane="bottomLeft" state="frozen"/>
      <selection pane="bottomLeft" activeCell="C15" sqref="C15"/>
    </sheetView>
  </sheetViews>
  <sheetFormatPr baseColWidth="10" defaultColWidth="8.6640625" defaultRowHeight="14.4" x14ac:dyDescent="0.3"/>
  <cols>
    <col min="1" max="2" width="12" style="1" customWidth="1"/>
    <col min="3" max="3" width="24" style="1" customWidth="1"/>
    <col min="4" max="5" width="14" style="1" customWidth="1"/>
    <col min="6" max="6" width="12" style="1" customWidth="1"/>
  </cols>
  <sheetData>
    <row r="1" spans="1:6" ht="14.25" customHeight="1" x14ac:dyDescent="0.3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</row>
    <row r="2" spans="1:6" ht="14.25" customHeight="1" x14ac:dyDescent="0.3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5">
        <v>77.5</v>
      </c>
    </row>
    <row r="3" spans="1:6" ht="14.25" customHeight="1" x14ac:dyDescent="0.3">
      <c r="A3" s="4" t="s">
        <v>45</v>
      </c>
      <c r="B3" s="4" t="s">
        <v>41</v>
      </c>
      <c r="C3" s="4" t="s">
        <v>46</v>
      </c>
      <c r="D3" s="4" t="s">
        <v>47</v>
      </c>
      <c r="E3" s="4" t="s">
        <v>44</v>
      </c>
      <c r="F3" s="5">
        <v>42</v>
      </c>
    </row>
    <row r="4" spans="1:6" ht="14.25" customHeight="1" x14ac:dyDescent="0.3">
      <c r="A4" s="4" t="s">
        <v>48</v>
      </c>
      <c r="B4" s="4" t="s">
        <v>41</v>
      </c>
      <c r="C4" s="4" t="s">
        <v>49</v>
      </c>
      <c r="D4" s="4" t="s">
        <v>47</v>
      </c>
      <c r="E4" s="4" t="s">
        <v>44</v>
      </c>
      <c r="F4" s="5">
        <v>21.8</v>
      </c>
    </row>
    <row r="5" spans="1:6" ht="14.25" customHeight="1" x14ac:dyDescent="0.3">
      <c r="A5" s="4" t="s">
        <v>50</v>
      </c>
      <c r="B5" s="4" t="s">
        <v>41</v>
      </c>
      <c r="C5" s="4" t="s">
        <v>51</v>
      </c>
      <c r="D5" s="4" t="s">
        <v>47</v>
      </c>
      <c r="E5" s="4" t="s">
        <v>44</v>
      </c>
      <c r="F5" s="5">
        <v>20</v>
      </c>
    </row>
    <row r="6" spans="1:6" ht="14.25" customHeight="1" x14ac:dyDescent="0.3">
      <c r="A6" s="4" t="s">
        <v>52</v>
      </c>
      <c r="B6" s="4" t="s">
        <v>41</v>
      </c>
      <c r="C6" s="4" t="s">
        <v>53</v>
      </c>
      <c r="D6" s="4" t="s">
        <v>47</v>
      </c>
      <c r="E6" s="4" t="s">
        <v>54</v>
      </c>
      <c r="F6" s="5">
        <v>19.8</v>
      </c>
    </row>
    <row r="7" spans="1:6" ht="14.25" customHeight="1" x14ac:dyDescent="0.3">
      <c r="A7" s="6" t="s">
        <v>55</v>
      </c>
      <c r="B7" s="6" t="s">
        <v>41</v>
      </c>
      <c r="C7" s="6" t="s">
        <v>56</v>
      </c>
      <c r="D7" s="6" t="s">
        <v>43</v>
      </c>
      <c r="E7" s="6" t="s">
        <v>44</v>
      </c>
      <c r="F7" s="7">
        <v>0</v>
      </c>
    </row>
    <row r="8" spans="1:6" ht="14.25" customHeight="1" x14ac:dyDescent="0.3">
      <c r="A8" s="4" t="s">
        <v>57</v>
      </c>
      <c r="B8" s="4" t="s">
        <v>58</v>
      </c>
      <c r="C8" s="4" t="s">
        <v>59</v>
      </c>
      <c r="D8" s="4" t="s">
        <v>47</v>
      </c>
      <c r="E8" s="4" t="s">
        <v>60</v>
      </c>
      <c r="F8" s="5">
        <v>140</v>
      </c>
    </row>
    <row r="9" spans="1:6" ht="14.25" customHeight="1" x14ac:dyDescent="0.3">
      <c r="A9" s="4" t="s">
        <v>61</v>
      </c>
      <c r="B9" s="4" t="s">
        <v>58</v>
      </c>
      <c r="C9" s="4" t="s">
        <v>62</v>
      </c>
      <c r="D9" s="4" t="s">
        <v>47</v>
      </c>
      <c r="E9" s="4" t="s">
        <v>60</v>
      </c>
      <c r="F9" s="5">
        <v>40</v>
      </c>
    </row>
    <row r="10" spans="1:6" ht="14.25" customHeight="1" x14ac:dyDescent="0.3">
      <c r="A10" s="4" t="s">
        <v>63</v>
      </c>
      <c r="B10" s="4" t="s">
        <v>58</v>
      </c>
      <c r="C10" s="4" t="s">
        <v>64</v>
      </c>
      <c r="D10" s="4" t="s">
        <v>65</v>
      </c>
      <c r="E10" s="4" t="s">
        <v>60</v>
      </c>
      <c r="F10" s="5">
        <v>130</v>
      </c>
    </row>
    <row r="11" spans="1:6" ht="14.25" customHeight="1" x14ac:dyDescent="0.3">
      <c r="A11" s="4" t="s">
        <v>66</v>
      </c>
      <c r="B11" s="4" t="s">
        <v>58</v>
      </c>
      <c r="C11" s="4" t="s">
        <v>67</v>
      </c>
      <c r="D11" s="4" t="s">
        <v>65</v>
      </c>
      <c r="E11" s="4" t="s">
        <v>60</v>
      </c>
      <c r="F11" s="5">
        <v>45</v>
      </c>
    </row>
    <row r="12" spans="1:6" ht="14.25" customHeight="1" x14ac:dyDescent="0.3">
      <c r="A12" s="4" t="s">
        <v>68</v>
      </c>
      <c r="B12" s="4" t="s">
        <v>69</v>
      </c>
      <c r="C12" s="4" t="s">
        <v>70</v>
      </c>
      <c r="D12" s="4" t="s">
        <v>65</v>
      </c>
      <c r="E12" s="4" t="s">
        <v>60</v>
      </c>
      <c r="F12" s="5">
        <v>100</v>
      </c>
    </row>
  </sheetData>
  <dataValidations count="2">
    <dataValidation type="list" errorTitle="Cultivo invalido" error="Valor invalido. Debe ser arandano, limon o cana." sqref="B2:B200">
      <formula1>"arandano,limon,cana"</formula1>
      <formula2>0</formula2>
    </dataValidation>
    <dataValidation type="list" errorTitle="Entidad invalida" error="Valor invalido. Debe ser PDJ, Fruit Crop o Greenpack." sqref="D2:D200">
      <formula1>"PDJ,Fruit Crop,Greenpack"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zoomScaleNormal="100" workbookViewId="0">
      <pane ySplit="1" topLeftCell="A2" activePane="bottomLeft" state="frozen"/>
      <selection pane="bottomLeft" activeCell="J5" sqref="J5"/>
    </sheetView>
  </sheetViews>
  <sheetFormatPr baseColWidth="10" defaultColWidth="8.6640625" defaultRowHeight="14.4" x14ac:dyDescent="0.3"/>
  <cols>
    <col min="1" max="1" width="12" style="1" customWidth="1"/>
    <col min="2" max="4" width="11" style="1" customWidth="1"/>
    <col min="5" max="5" width="12.6640625" style="1" customWidth="1"/>
    <col min="6" max="6" width="14.21875" style="1" customWidth="1"/>
    <col min="7" max="7" width="13.21875" style="1" customWidth="1"/>
    <col min="8" max="8" width="16" style="1" customWidth="1"/>
    <col min="9" max="9" width="18.109375" style="1" customWidth="1"/>
    <col min="10" max="10" width="14" style="1" customWidth="1"/>
    <col min="11" max="11" width="17" style="1" customWidth="1"/>
    <col min="12" max="12" width="14" style="1" customWidth="1"/>
    <col min="13" max="13" width="17" style="1" customWidth="1"/>
    <col min="14" max="14" width="10" style="1" customWidth="1"/>
    <col min="15" max="15" width="17" style="1" customWidth="1"/>
    <col min="16" max="16" width="10" style="1" customWidth="1"/>
    <col min="17" max="17" width="17" style="1" customWidth="1"/>
    <col min="18" max="18" width="10" style="1" customWidth="1"/>
    <col min="19" max="19" width="17" style="1" customWidth="1"/>
    <col min="20" max="20" width="10" style="1" customWidth="1"/>
  </cols>
  <sheetData>
    <row r="1" spans="1:21" ht="14.25" customHeight="1" x14ac:dyDescent="0.3">
      <c r="A1" s="3" t="s">
        <v>34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8" t="s">
        <v>79</v>
      </c>
      <c r="K1" s="8" t="s">
        <v>80</v>
      </c>
      <c r="L1" s="8" t="s">
        <v>81</v>
      </c>
      <c r="M1" s="8" t="s">
        <v>82</v>
      </c>
      <c r="N1" s="8" t="s">
        <v>83</v>
      </c>
      <c r="O1" s="8" t="s">
        <v>84</v>
      </c>
      <c r="P1" s="8" t="s">
        <v>85</v>
      </c>
      <c r="Q1" s="8" t="s">
        <v>86</v>
      </c>
      <c r="R1" s="8" t="s">
        <v>87</v>
      </c>
      <c r="S1" s="8" t="s">
        <v>88</v>
      </c>
      <c r="T1" s="8" t="s">
        <v>89</v>
      </c>
      <c r="U1" s="8" t="s">
        <v>90</v>
      </c>
    </row>
    <row r="2" spans="1:21" ht="14.25" customHeight="1" x14ac:dyDescent="0.3">
      <c r="A2" s="4" t="s">
        <v>40</v>
      </c>
      <c r="B2" s="9">
        <v>2026</v>
      </c>
      <c r="C2" s="10">
        <v>702372</v>
      </c>
      <c r="D2" s="11">
        <f>IF(C2="","",C2/VLOOKUP(A2,Campos!$A:$F,6,FALSE()))</f>
        <v>9062.8645161290315</v>
      </c>
      <c r="E2" s="10">
        <v>12000</v>
      </c>
      <c r="F2" s="12">
        <f>IF(OR(D2="",G2=""),"",D2*G2)</f>
        <v>50661.412645161283</v>
      </c>
      <c r="G2" s="13">
        <v>5.59</v>
      </c>
      <c r="H2" s="10">
        <v>3432</v>
      </c>
      <c r="I2" s="10">
        <v>6</v>
      </c>
      <c r="J2" s="4" t="s">
        <v>91</v>
      </c>
      <c r="K2" s="14">
        <v>0.45</v>
      </c>
      <c r="L2" s="4" t="s">
        <v>92</v>
      </c>
      <c r="M2" s="14">
        <v>0.35</v>
      </c>
      <c r="N2" s="4" t="s">
        <v>93</v>
      </c>
      <c r="O2" s="14">
        <v>0.2</v>
      </c>
      <c r="P2" s="4"/>
      <c r="Q2" s="14"/>
      <c r="R2" s="4"/>
      <c r="S2" s="14"/>
      <c r="T2" s="4"/>
      <c r="U2" s="14"/>
    </row>
    <row r="3" spans="1:21" ht="14.25" customHeight="1" x14ac:dyDescent="0.3">
      <c r="A3" s="4" t="s">
        <v>45</v>
      </c>
      <c r="B3" s="9">
        <v>2026</v>
      </c>
      <c r="C3" s="10">
        <v>382194</v>
      </c>
      <c r="D3" s="11">
        <f>IF(C3="","",C3/VLOOKUP(A3,Campos!$A:$F,6,FALSE()))</f>
        <v>9099.8571428571431</v>
      </c>
      <c r="E3" s="10">
        <v>11500</v>
      </c>
      <c r="F3" s="12">
        <f>IF(OR(D3="",G3=""),"",D3*G3)</f>
        <v>53143.165714285715</v>
      </c>
      <c r="G3" s="13">
        <v>5.84</v>
      </c>
      <c r="H3" s="10">
        <v>3286</v>
      </c>
      <c r="I3" s="10">
        <v>4</v>
      </c>
      <c r="J3" s="4" t="s">
        <v>91</v>
      </c>
      <c r="K3" s="14">
        <v>0.4</v>
      </c>
      <c r="L3" s="4" t="s">
        <v>94</v>
      </c>
      <c r="M3" s="14">
        <v>0.35</v>
      </c>
      <c r="N3" s="4" t="s">
        <v>95</v>
      </c>
      <c r="O3" s="14">
        <v>0.25</v>
      </c>
      <c r="P3" s="4"/>
      <c r="Q3" s="14"/>
      <c r="R3" s="4"/>
      <c r="S3" s="14"/>
      <c r="T3" s="4"/>
      <c r="U3" s="14"/>
    </row>
    <row r="4" spans="1:21" ht="14.25" customHeight="1" x14ac:dyDescent="0.3">
      <c r="A4" s="4" t="s">
        <v>48</v>
      </c>
      <c r="B4" s="9">
        <v>2026</v>
      </c>
      <c r="C4" s="10">
        <v>201890</v>
      </c>
      <c r="D4" s="11">
        <f>IF(C4="","",C4/VLOOKUP(A4,Campos!$A:$F,6,FALSE()))</f>
        <v>9261.0091743119265</v>
      </c>
      <c r="E4" s="10">
        <v>13000</v>
      </c>
      <c r="F4" s="12">
        <f>IF(OR(D4="",G4=""),"",D4*G4)</f>
        <v>55936.495412844037</v>
      </c>
      <c r="G4" s="13">
        <v>6.04</v>
      </c>
      <c r="H4" s="10">
        <v>4495</v>
      </c>
      <c r="I4" s="10">
        <v>9</v>
      </c>
      <c r="J4" s="4" t="s">
        <v>91</v>
      </c>
      <c r="K4" s="14">
        <v>0.6</v>
      </c>
      <c r="L4" s="4" t="s">
        <v>93</v>
      </c>
      <c r="M4" s="14">
        <v>0.4</v>
      </c>
      <c r="N4" s="4"/>
      <c r="O4" s="14"/>
      <c r="P4" s="4"/>
      <c r="Q4" s="14"/>
      <c r="R4" s="4"/>
      <c r="S4" s="14"/>
      <c r="T4" s="4"/>
      <c r="U4" s="14"/>
    </row>
    <row r="5" spans="1:21" ht="14.25" customHeight="1" x14ac:dyDescent="0.3">
      <c r="A5" s="4" t="s">
        <v>50</v>
      </c>
      <c r="B5" s="9">
        <v>2026</v>
      </c>
      <c r="C5" s="10">
        <v>64800</v>
      </c>
      <c r="D5" s="11">
        <f>IF(C5="","",C5/VLOOKUP(A5,Campos!$A:$F,6,FALSE()))</f>
        <v>3240</v>
      </c>
      <c r="E5" s="10">
        <v>12500</v>
      </c>
      <c r="F5" s="12">
        <f>IF(OR(D5="",G5=""),"",D5*G5)</f>
        <v>14515.2</v>
      </c>
      <c r="G5" s="13">
        <v>4.4800000000000004</v>
      </c>
      <c r="H5" s="10">
        <v>500</v>
      </c>
      <c r="I5" s="10">
        <v>1</v>
      </c>
      <c r="J5" s="4" t="s">
        <v>94</v>
      </c>
      <c r="K5" s="14">
        <v>0.4</v>
      </c>
      <c r="L5" s="4" t="s">
        <v>95</v>
      </c>
      <c r="M5" s="14">
        <v>0.35</v>
      </c>
      <c r="N5" s="4" t="s">
        <v>92</v>
      </c>
      <c r="O5" s="14">
        <v>0.25</v>
      </c>
      <c r="P5" s="4"/>
      <c r="Q5" s="14"/>
      <c r="R5" s="4"/>
      <c r="S5" s="14"/>
      <c r="T5" s="4"/>
      <c r="U5" s="14"/>
    </row>
    <row r="6" spans="1:21" ht="14.25" customHeight="1" x14ac:dyDescent="0.3">
      <c r="A6" s="4" t="s">
        <v>52</v>
      </c>
      <c r="B6" s="9">
        <v>2026</v>
      </c>
      <c r="C6" s="10">
        <v>244489</v>
      </c>
      <c r="D6" s="11">
        <f>IF(C6="","",C6/VLOOKUP(A6,Campos!$A:$F,6,FALSE()))</f>
        <v>12347.929292929293</v>
      </c>
      <c r="E6" s="10">
        <v>11000</v>
      </c>
      <c r="F6" s="12">
        <f>IF(OR(D6="",G6=""),"",D6*G6)</f>
        <v>53960.451010101016</v>
      </c>
      <c r="G6" s="13">
        <v>4.37</v>
      </c>
      <c r="H6" s="10">
        <v>3283</v>
      </c>
      <c r="I6" s="10">
        <v>3</v>
      </c>
      <c r="J6" s="4" t="s">
        <v>91</v>
      </c>
      <c r="K6" s="14">
        <v>0.3</v>
      </c>
      <c r="L6" s="4" t="s">
        <v>92</v>
      </c>
      <c r="M6" s="14">
        <v>0.3</v>
      </c>
      <c r="N6" s="4" t="s">
        <v>95</v>
      </c>
      <c r="O6" s="14">
        <v>0.25</v>
      </c>
      <c r="P6" s="4" t="s">
        <v>96</v>
      </c>
      <c r="Q6" s="14">
        <v>0.15</v>
      </c>
      <c r="R6" s="4"/>
      <c r="S6" s="14"/>
      <c r="T6" s="4"/>
      <c r="U6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zoomScaleNormal="100" workbookViewId="0">
      <pane ySplit="1" topLeftCell="A2" activePane="bottomLeft" state="frozen"/>
      <selection pane="bottomLeft" activeCell="H8" sqref="H8"/>
    </sheetView>
  </sheetViews>
  <sheetFormatPr baseColWidth="10" defaultColWidth="8.6640625" defaultRowHeight="14.4" x14ac:dyDescent="0.3"/>
  <cols>
    <col min="1" max="1" width="12" style="1" customWidth="1"/>
    <col min="2" max="4" width="11" style="1" customWidth="1"/>
    <col min="5" max="5" width="12.6640625" style="1" customWidth="1"/>
    <col min="6" max="6" width="14.21875" style="1" customWidth="1"/>
    <col min="7" max="7" width="12" style="1" customWidth="1"/>
    <col min="8" max="8" width="16" style="1" customWidth="1"/>
    <col min="9" max="9" width="17" style="1" customWidth="1"/>
    <col min="10" max="10" width="10" style="1" customWidth="1"/>
    <col min="11" max="11" width="17" style="1" customWidth="1"/>
    <col min="12" max="12" width="10" style="1" customWidth="1"/>
    <col min="13" max="13" width="17" style="1" customWidth="1"/>
    <col min="14" max="14" width="10" style="1" customWidth="1"/>
    <col min="15" max="15" width="17" style="1" customWidth="1"/>
    <col min="16" max="16" width="10" style="1" customWidth="1"/>
    <col min="17" max="17" width="17" style="1" customWidth="1"/>
    <col min="18" max="18" width="10" style="1" customWidth="1"/>
    <col min="19" max="19" width="17" style="1" customWidth="1"/>
    <col min="20" max="20" width="10" style="1" customWidth="1"/>
  </cols>
  <sheetData>
    <row r="1" spans="1:21" ht="14.25" customHeight="1" x14ac:dyDescent="0.3">
      <c r="A1" s="3" t="s">
        <v>34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8" t="s">
        <v>79</v>
      </c>
      <c r="K1" s="8" t="s">
        <v>80</v>
      </c>
      <c r="L1" s="8" t="s">
        <v>81</v>
      </c>
      <c r="M1" s="8" t="s">
        <v>82</v>
      </c>
      <c r="N1" s="8" t="s">
        <v>83</v>
      </c>
      <c r="O1" s="8" t="s">
        <v>84</v>
      </c>
      <c r="P1" s="8" t="s">
        <v>85</v>
      </c>
      <c r="Q1" s="8" t="s">
        <v>86</v>
      </c>
      <c r="R1" s="8" t="s">
        <v>87</v>
      </c>
      <c r="S1" s="8" t="s">
        <v>88</v>
      </c>
      <c r="T1" s="8" t="s">
        <v>89</v>
      </c>
      <c r="U1" s="8" t="s">
        <v>90</v>
      </c>
    </row>
    <row r="2" spans="1:21" ht="14.25" customHeight="1" x14ac:dyDescent="0.3">
      <c r="A2" s="4" t="s">
        <v>57</v>
      </c>
      <c r="B2" s="9">
        <v>2026</v>
      </c>
      <c r="C2" s="10">
        <v>4515420</v>
      </c>
      <c r="D2" s="11">
        <f>IF(C2="","",C2/VLOOKUP(A2,Campos!$A:$F,6,FALSE()))</f>
        <v>32253</v>
      </c>
      <c r="E2" s="10">
        <v>4200</v>
      </c>
      <c r="F2" s="12">
        <f>IF(OR(D2="",G2=""),"",D2*G2)</f>
        <v>18835.752</v>
      </c>
      <c r="G2" s="13">
        <v>0.58399999999999996</v>
      </c>
      <c r="H2" s="10">
        <v>474</v>
      </c>
      <c r="I2" s="10">
        <v>14</v>
      </c>
      <c r="J2" s="4" t="s">
        <v>97</v>
      </c>
      <c r="K2" s="14">
        <v>0.7</v>
      </c>
      <c r="L2" s="4" t="s">
        <v>98</v>
      </c>
      <c r="M2" s="14">
        <v>0.3</v>
      </c>
      <c r="N2" s="4"/>
      <c r="O2" s="14"/>
      <c r="P2" s="4"/>
      <c r="Q2" s="14"/>
      <c r="R2" s="4"/>
      <c r="S2" s="14"/>
      <c r="T2" s="4"/>
      <c r="U2" s="14"/>
    </row>
    <row r="3" spans="1:21" ht="14.25" customHeight="1" x14ac:dyDescent="0.3">
      <c r="A3" s="4" t="s">
        <v>61</v>
      </c>
      <c r="B3" s="9">
        <v>2026</v>
      </c>
      <c r="C3" s="10">
        <v>1108688</v>
      </c>
      <c r="D3" s="11">
        <f>IF(C3="","",C3/VLOOKUP(A3,Campos!$A:$F,6,FALSE()))</f>
        <v>27717.200000000001</v>
      </c>
      <c r="E3" s="10">
        <v>6000</v>
      </c>
      <c r="F3" s="12">
        <f>IF(OR(D3="",G3=""),"",D3*G3)</f>
        <v>16186.844799999999</v>
      </c>
      <c r="G3" s="13">
        <v>0.58399999999999996</v>
      </c>
      <c r="H3" s="10">
        <v>413</v>
      </c>
      <c r="I3" s="10">
        <v>22</v>
      </c>
      <c r="J3" s="4" t="s">
        <v>97</v>
      </c>
      <c r="K3" s="14">
        <v>0.6</v>
      </c>
      <c r="L3" s="4" t="s">
        <v>99</v>
      </c>
      <c r="M3" s="14">
        <v>0.4</v>
      </c>
      <c r="N3" s="4"/>
      <c r="O3" s="14"/>
      <c r="P3" s="4"/>
      <c r="Q3" s="14"/>
      <c r="R3" s="4"/>
      <c r="S3" s="14"/>
      <c r="T3" s="4"/>
      <c r="U3" s="14"/>
    </row>
    <row r="4" spans="1:21" ht="14.25" customHeight="1" x14ac:dyDescent="0.3">
      <c r="A4" s="4" t="s">
        <v>63</v>
      </c>
      <c r="B4" s="9">
        <v>2026</v>
      </c>
      <c r="C4" s="10">
        <v>2761449</v>
      </c>
      <c r="D4" s="11">
        <f>IF(C4="","",C4/VLOOKUP(A4,Campos!$A:$F,6,FALSE()))</f>
        <v>21241.915384615386</v>
      </c>
      <c r="E4" s="10">
        <v>5000</v>
      </c>
      <c r="F4" s="12">
        <f>IF(OR(D4="",G4=""),"",D4*G4)</f>
        <v>12405.278584615384</v>
      </c>
      <c r="G4" s="13">
        <v>0.58399999999999996</v>
      </c>
      <c r="H4" s="10">
        <v>373</v>
      </c>
      <c r="I4" s="10">
        <v>11</v>
      </c>
      <c r="J4" s="4" t="s">
        <v>97</v>
      </c>
      <c r="K4" s="14">
        <v>0.5</v>
      </c>
      <c r="L4" s="4" t="s">
        <v>98</v>
      </c>
      <c r="M4" s="14">
        <v>0.3</v>
      </c>
      <c r="N4" s="4" t="s">
        <v>99</v>
      </c>
      <c r="O4" s="14">
        <v>0.2</v>
      </c>
      <c r="P4" s="4"/>
      <c r="Q4" s="14"/>
      <c r="R4" s="4"/>
      <c r="S4" s="14"/>
      <c r="T4" s="4"/>
      <c r="U4" s="14"/>
    </row>
    <row r="5" spans="1:21" ht="14.25" customHeight="1" x14ac:dyDescent="0.3">
      <c r="A5" s="4" t="s">
        <v>66</v>
      </c>
      <c r="B5" s="9">
        <v>2026</v>
      </c>
      <c r="C5" s="10">
        <v>213847</v>
      </c>
      <c r="D5" s="11">
        <f>IF(C5="","",C5/VLOOKUP(A5,Campos!$A:$F,6,FALSE()))</f>
        <v>4752.1555555555551</v>
      </c>
      <c r="E5" s="10">
        <v>4550</v>
      </c>
      <c r="F5" s="12">
        <f>IF(OR(D5="",G5=""),"",D5*G5)</f>
        <v>2775.2588444444441</v>
      </c>
      <c r="G5" s="13">
        <v>0.58399999999999996</v>
      </c>
      <c r="H5" s="10">
        <v>309</v>
      </c>
      <c r="I5" s="10">
        <v>8</v>
      </c>
      <c r="J5" s="4" t="s">
        <v>97</v>
      </c>
      <c r="K5" s="14">
        <v>0.65</v>
      </c>
      <c r="L5" s="4" t="s">
        <v>98</v>
      </c>
      <c r="M5" s="14">
        <v>0.35</v>
      </c>
      <c r="N5" s="4"/>
      <c r="O5" s="14"/>
      <c r="P5" s="4"/>
      <c r="Q5" s="14"/>
      <c r="R5" s="4"/>
      <c r="S5" s="14"/>
      <c r="T5" s="4"/>
      <c r="U5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zoomScaleNormal="100" workbookViewId="0">
      <pane ySplit="1" topLeftCell="A2" activePane="bottomLeft" state="frozen"/>
      <selection pane="bottomLeft" activeCell="H8" sqref="H8"/>
    </sheetView>
  </sheetViews>
  <sheetFormatPr baseColWidth="10" defaultColWidth="8.6640625" defaultRowHeight="14.4" x14ac:dyDescent="0.3"/>
  <cols>
    <col min="1" max="1" width="12" style="1" customWidth="1"/>
    <col min="2" max="5" width="11" style="1" customWidth="1"/>
    <col min="6" max="6" width="13" style="1" customWidth="1"/>
    <col min="7" max="7" width="12" style="1" customWidth="1"/>
    <col min="8" max="8" width="16" style="1" customWidth="1"/>
    <col min="9" max="9" width="17" style="1" customWidth="1"/>
    <col min="10" max="10" width="10" style="1" customWidth="1"/>
    <col min="11" max="11" width="17" style="1" customWidth="1"/>
    <col min="12" max="12" width="10" style="1" customWidth="1"/>
    <col min="13" max="13" width="17" style="1" customWidth="1"/>
    <col min="14" max="14" width="10" style="1" customWidth="1"/>
    <col min="15" max="15" width="17" style="1" customWidth="1"/>
    <col min="16" max="16" width="10" style="1" customWidth="1"/>
    <col min="17" max="17" width="17" style="1" customWidth="1"/>
    <col min="18" max="18" width="10" style="1" customWidth="1"/>
    <col min="19" max="19" width="17" style="1" customWidth="1"/>
    <col min="20" max="20" width="10" style="1" customWidth="1"/>
  </cols>
  <sheetData>
    <row r="1" spans="1:21" ht="14.25" customHeight="1" x14ac:dyDescent="0.3">
      <c r="A1" s="3" t="s">
        <v>34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8" t="s">
        <v>79</v>
      </c>
      <c r="K1" s="8" t="s">
        <v>80</v>
      </c>
      <c r="L1" s="8" t="s">
        <v>81</v>
      </c>
      <c r="M1" s="8" t="s">
        <v>82</v>
      </c>
      <c r="N1" s="8" t="s">
        <v>83</v>
      </c>
      <c r="O1" s="8" t="s">
        <v>84</v>
      </c>
      <c r="P1" s="8" t="s">
        <v>85</v>
      </c>
      <c r="Q1" s="8" t="s">
        <v>86</v>
      </c>
      <c r="R1" s="8" t="s">
        <v>87</v>
      </c>
      <c r="S1" s="8" t="s">
        <v>88</v>
      </c>
      <c r="T1" s="8" t="s">
        <v>89</v>
      </c>
      <c r="U1" s="8" t="s">
        <v>90</v>
      </c>
    </row>
    <row r="2" spans="1:21" ht="14.25" customHeight="1" x14ac:dyDescent="0.3">
      <c r="A2" s="4" t="s">
        <v>68</v>
      </c>
      <c r="B2" s="9">
        <v>2026</v>
      </c>
      <c r="C2" s="10">
        <v>0</v>
      </c>
      <c r="D2" s="11">
        <f>IF(C2="","",C2/VLOOKUP(A2,Campos!$A:$F,6,FALSE()))</f>
        <v>0</v>
      </c>
      <c r="E2" s="10">
        <v>0</v>
      </c>
      <c r="F2" s="12">
        <f>IF(OR(D2="",G2=""),"",D2*G2)</f>
        <v>0</v>
      </c>
      <c r="G2" s="13">
        <v>0</v>
      </c>
      <c r="H2" s="10"/>
      <c r="I2" s="10">
        <v>3</v>
      </c>
      <c r="J2" s="4"/>
      <c r="K2" s="14"/>
      <c r="L2" s="4"/>
      <c r="M2" s="14"/>
      <c r="N2" s="4"/>
      <c r="O2" s="14"/>
      <c r="P2" s="4"/>
      <c r="Q2" s="14"/>
      <c r="R2" s="4"/>
      <c r="S2" s="14"/>
      <c r="T2" s="4"/>
      <c r="U2" s="1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2" style="1" customWidth="1"/>
    <col min="2" max="2" width="10" style="1" customWidth="1"/>
    <col min="3" max="4" width="13" style="1" customWidth="1"/>
    <col min="5" max="5" width="18" style="1" customWidth="1"/>
    <col min="6" max="6" width="14" style="1" customWidth="1"/>
  </cols>
  <sheetData>
    <row r="1" spans="1:6" ht="15" customHeight="1" x14ac:dyDescent="0.3">
      <c r="A1" s="3" t="s">
        <v>34</v>
      </c>
      <c r="B1" s="3" t="s">
        <v>100</v>
      </c>
      <c r="C1" s="3" t="s">
        <v>101</v>
      </c>
      <c r="D1" s="3" t="s">
        <v>39</v>
      </c>
      <c r="E1" s="3" t="s">
        <v>102</v>
      </c>
      <c r="F1" s="3" t="s">
        <v>103</v>
      </c>
    </row>
    <row r="2" spans="1:6" ht="15" customHeight="1" x14ac:dyDescent="0.3">
      <c r="A2" s="4" t="s">
        <v>50</v>
      </c>
      <c r="B2" s="9">
        <v>2026</v>
      </c>
      <c r="C2" s="4" t="s">
        <v>104</v>
      </c>
      <c r="D2" s="5">
        <v>16</v>
      </c>
      <c r="E2" s="4" t="s">
        <v>105</v>
      </c>
      <c r="F2" s="15">
        <v>1</v>
      </c>
    </row>
    <row r="3" spans="1:6" ht="15" customHeight="1" x14ac:dyDescent="0.3">
      <c r="A3" s="4" t="s">
        <v>45</v>
      </c>
      <c r="B3" s="9">
        <v>2028</v>
      </c>
      <c r="C3" s="4" t="s">
        <v>104</v>
      </c>
      <c r="D3" s="5">
        <v>6</v>
      </c>
      <c r="E3" s="4" t="s">
        <v>105</v>
      </c>
      <c r="F3" s="15">
        <v>1</v>
      </c>
    </row>
    <row r="4" spans="1:6" ht="15" customHeight="1" x14ac:dyDescent="0.3">
      <c r="A4" s="4" t="s">
        <v>45</v>
      </c>
      <c r="B4" s="9">
        <v>2028</v>
      </c>
      <c r="C4" s="4" t="s">
        <v>106</v>
      </c>
      <c r="D4" s="5">
        <v>4</v>
      </c>
      <c r="E4" s="4" t="s">
        <v>105</v>
      </c>
      <c r="F4" s="15">
        <v>1</v>
      </c>
    </row>
    <row r="5" spans="1:6" ht="15" customHeight="1" x14ac:dyDescent="0.3">
      <c r="A5" s="4" t="s">
        <v>45</v>
      </c>
      <c r="B5" s="9">
        <v>2029</v>
      </c>
      <c r="C5" s="4" t="s">
        <v>106</v>
      </c>
      <c r="D5" s="5">
        <v>38</v>
      </c>
      <c r="E5" s="4" t="s">
        <v>105</v>
      </c>
      <c r="F5" s="15">
        <v>1</v>
      </c>
    </row>
    <row r="6" spans="1:6" ht="15" customHeight="1" x14ac:dyDescent="0.3">
      <c r="A6" s="4" t="s">
        <v>40</v>
      </c>
      <c r="B6" s="9">
        <v>2027</v>
      </c>
      <c r="C6" s="4" t="s">
        <v>104</v>
      </c>
      <c r="D6" s="5">
        <v>9</v>
      </c>
      <c r="E6" s="4" t="s">
        <v>105</v>
      </c>
      <c r="F6" s="15">
        <v>1</v>
      </c>
    </row>
    <row r="7" spans="1:6" ht="15" customHeight="1" x14ac:dyDescent="0.3">
      <c r="A7" s="4" t="s">
        <v>40</v>
      </c>
      <c r="B7" s="9">
        <v>2028</v>
      </c>
      <c r="C7" s="4" t="s">
        <v>104</v>
      </c>
      <c r="D7" s="5">
        <v>8.5</v>
      </c>
      <c r="E7" s="4" t="s">
        <v>105</v>
      </c>
      <c r="F7" s="15">
        <v>1</v>
      </c>
    </row>
    <row r="8" spans="1:6" ht="15" customHeight="1" x14ac:dyDescent="0.3">
      <c r="A8" s="4" t="s">
        <v>40</v>
      </c>
      <c r="B8" s="9">
        <v>2028</v>
      </c>
      <c r="C8" s="4" t="s">
        <v>106</v>
      </c>
      <c r="D8" s="5">
        <v>21.5</v>
      </c>
      <c r="E8" s="4" t="s">
        <v>105</v>
      </c>
      <c r="F8" s="15">
        <v>1</v>
      </c>
    </row>
    <row r="9" spans="1:6" ht="15" customHeight="1" x14ac:dyDescent="0.3">
      <c r="A9" s="4" t="s">
        <v>40</v>
      </c>
      <c r="B9" s="9">
        <v>2029</v>
      </c>
      <c r="C9" s="4" t="s">
        <v>106</v>
      </c>
      <c r="D9" s="5">
        <v>27</v>
      </c>
      <c r="E9" s="4" t="s">
        <v>105</v>
      </c>
      <c r="F9" s="15">
        <v>1</v>
      </c>
    </row>
    <row r="10" spans="1:6" ht="15" customHeight="1" x14ac:dyDescent="0.3">
      <c r="A10" s="4" t="s">
        <v>40</v>
      </c>
      <c r="B10" s="9">
        <v>2030</v>
      </c>
      <c r="C10" s="4" t="s">
        <v>106</v>
      </c>
      <c r="D10" s="5">
        <v>29</v>
      </c>
      <c r="E10" s="4" t="s">
        <v>105</v>
      </c>
      <c r="F10" s="15">
        <v>1</v>
      </c>
    </row>
    <row r="11" spans="1:6" ht="15" customHeight="1" x14ac:dyDescent="0.3">
      <c r="A11" s="4" t="s">
        <v>48</v>
      </c>
      <c r="B11" s="9">
        <v>2030</v>
      </c>
      <c r="C11" s="4" t="s">
        <v>104</v>
      </c>
      <c r="D11" s="5">
        <v>0.2</v>
      </c>
      <c r="E11" s="4" t="s">
        <v>105</v>
      </c>
      <c r="F11" s="15">
        <v>1</v>
      </c>
    </row>
    <row r="12" spans="1:6" ht="15" customHeight="1" x14ac:dyDescent="0.3">
      <c r="A12" s="4" t="s">
        <v>48</v>
      </c>
      <c r="B12" s="9">
        <v>2030</v>
      </c>
      <c r="C12" s="4" t="s">
        <v>106</v>
      </c>
      <c r="D12" s="5">
        <v>21.8</v>
      </c>
      <c r="E12" s="4" t="s">
        <v>105</v>
      </c>
      <c r="F12" s="15">
        <v>1</v>
      </c>
    </row>
    <row r="13" spans="1:6" ht="15" customHeight="1" x14ac:dyDescent="0.3">
      <c r="A13" s="4" t="s">
        <v>55</v>
      </c>
      <c r="B13" s="9">
        <v>2027</v>
      </c>
      <c r="C13" s="4" t="s">
        <v>104</v>
      </c>
      <c r="D13" s="5">
        <v>40</v>
      </c>
      <c r="E13" s="4" t="s">
        <v>105</v>
      </c>
      <c r="F13" s="15">
        <v>1</v>
      </c>
    </row>
    <row r="14" spans="1:6" ht="15" customHeight="1" x14ac:dyDescent="0.3">
      <c r="A14" s="4" t="s">
        <v>55</v>
      </c>
      <c r="B14" s="9">
        <v>2028</v>
      </c>
      <c r="C14" s="4" t="s">
        <v>104</v>
      </c>
      <c r="D14" s="5">
        <v>30</v>
      </c>
      <c r="E14" s="4" t="s">
        <v>105</v>
      </c>
      <c r="F14" s="15">
        <v>1</v>
      </c>
    </row>
    <row r="15" spans="1:6" ht="15" customHeight="1" x14ac:dyDescent="0.3">
      <c r="A15" s="4"/>
      <c r="B15" s="9"/>
      <c r="C15" s="4"/>
      <c r="D15" s="5"/>
      <c r="E15" s="4"/>
      <c r="F15" s="15"/>
    </row>
    <row r="16" spans="1:6" ht="15" customHeight="1" x14ac:dyDescent="0.3">
      <c r="A16" s="4"/>
      <c r="B16" s="9"/>
      <c r="C16" s="4"/>
      <c r="D16" s="5"/>
      <c r="E16" s="4"/>
      <c r="F16" s="15"/>
    </row>
  </sheetData>
  <dataValidations count="2">
    <dataValidation type="list" sqref="C2:C500">
      <formula1>"nueva,recambio"</formula1>
      <formula2>0</formula2>
    </dataValidation>
    <dataValidation type="list" sqref="E2:E500">
      <formula1>"por definir,Tafi,Slender,Naike,Moya,Pampa"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ID invalido">
          <x14:formula1>
            <xm:f>Campos!$A$2:$A$200</xm:f>
          </x14:formula1>
          <x14:formula2>
            <xm:f>0</xm:f>
          </x14:formula2>
          <xm:sqref>A2:A500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8" sqref="M8"/>
    </sheetView>
  </sheetViews>
  <sheetFormatPr baseColWidth="10" defaultColWidth="8.6640625" defaultRowHeight="14.4" x14ac:dyDescent="0.3"/>
  <cols>
    <col min="1" max="1" width="15" style="1" customWidth="1"/>
    <col min="2" max="16" width="9" style="1" customWidth="1"/>
  </cols>
  <sheetData>
    <row r="1" spans="1:16" ht="15" customHeight="1" x14ac:dyDescent="0.3">
      <c r="A1" s="3" t="s">
        <v>102</v>
      </c>
      <c r="B1" s="3" t="s">
        <v>107</v>
      </c>
      <c r="C1" s="3" t="s">
        <v>108</v>
      </c>
      <c r="D1" s="3" t="s">
        <v>109</v>
      </c>
      <c r="E1" s="3" t="s">
        <v>110</v>
      </c>
      <c r="F1" s="3" t="s">
        <v>111</v>
      </c>
      <c r="G1" s="3" t="s">
        <v>112</v>
      </c>
      <c r="H1" s="3" t="s">
        <v>113</v>
      </c>
      <c r="I1" s="3" t="s">
        <v>114</v>
      </c>
      <c r="J1" s="3" t="s">
        <v>115</v>
      </c>
      <c r="K1" s="3" t="s">
        <v>116</v>
      </c>
      <c r="L1" s="3" t="s">
        <v>117</v>
      </c>
      <c r="M1" s="3" t="s">
        <v>118</v>
      </c>
      <c r="N1" s="3" t="s">
        <v>119</v>
      </c>
      <c r="O1" s="3" t="s">
        <v>120</v>
      </c>
      <c r="P1" s="3" t="s">
        <v>121</v>
      </c>
    </row>
    <row r="2" spans="1:16" ht="15" customHeight="1" x14ac:dyDescent="0.3">
      <c r="A2" s="4" t="s">
        <v>105</v>
      </c>
      <c r="B2" s="18">
        <v>500</v>
      </c>
      <c r="C2" s="18">
        <v>3000</v>
      </c>
      <c r="D2" s="18">
        <v>9000</v>
      </c>
      <c r="E2" s="18">
        <v>17800</v>
      </c>
      <c r="F2" s="18">
        <v>17800</v>
      </c>
      <c r="G2" s="18">
        <v>17800</v>
      </c>
      <c r="H2" s="18">
        <v>17800</v>
      </c>
      <c r="I2" s="18">
        <v>17800</v>
      </c>
      <c r="J2" s="18">
        <v>17800</v>
      </c>
      <c r="K2" s="18">
        <v>15500</v>
      </c>
      <c r="L2" s="18">
        <v>13500</v>
      </c>
      <c r="M2" s="18">
        <v>11500</v>
      </c>
      <c r="N2" s="10">
        <v>10000</v>
      </c>
      <c r="O2" s="10">
        <v>10000</v>
      </c>
      <c r="P2" s="10">
        <v>10000</v>
      </c>
    </row>
    <row r="3" spans="1:16" ht="15" customHeight="1" x14ac:dyDescent="0.3">
      <c r="A3" s="4" t="s">
        <v>94</v>
      </c>
      <c r="B3" s="18">
        <v>500</v>
      </c>
      <c r="C3" s="18">
        <v>3000</v>
      </c>
      <c r="D3" s="18">
        <v>9000</v>
      </c>
      <c r="E3" s="18">
        <v>17800</v>
      </c>
      <c r="F3" s="18">
        <v>17800</v>
      </c>
      <c r="G3" s="18">
        <v>17800</v>
      </c>
      <c r="H3" s="18">
        <v>17800</v>
      </c>
      <c r="I3" s="18">
        <v>17800</v>
      </c>
      <c r="J3" s="18">
        <v>17800</v>
      </c>
      <c r="K3" s="18">
        <v>15500</v>
      </c>
      <c r="L3" s="18">
        <v>13500</v>
      </c>
      <c r="M3" s="18">
        <v>11500</v>
      </c>
      <c r="N3" s="10">
        <v>10000</v>
      </c>
      <c r="O3" s="10">
        <v>10000</v>
      </c>
      <c r="P3" s="10">
        <v>10000</v>
      </c>
    </row>
    <row r="4" spans="1:16" ht="15" customHeight="1" x14ac:dyDescent="0.3">
      <c r="A4" s="4" t="s">
        <v>92</v>
      </c>
      <c r="B4" s="18">
        <v>500</v>
      </c>
      <c r="C4" s="18">
        <v>3000</v>
      </c>
      <c r="D4" s="18">
        <v>9000</v>
      </c>
      <c r="E4" s="18">
        <v>17800</v>
      </c>
      <c r="F4" s="18">
        <v>17800</v>
      </c>
      <c r="G4" s="18">
        <v>17800</v>
      </c>
      <c r="H4" s="18">
        <v>17800</v>
      </c>
      <c r="I4" s="18">
        <v>17800</v>
      </c>
      <c r="J4" s="18">
        <v>17800</v>
      </c>
      <c r="K4" s="18">
        <v>15500</v>
      </c>
      <c r="L4" s="18">
        <v>13500</v>
      </c>
      <c r="M4" s="18">
        <v>11500</v>
      </c>
      <c r="N4" s="10">
        <v>10000</v>
      </c>
      <c r="O4" s="10">
        <v>10000</v>
      </c>
      <c r="P4" s="10">
        <v>10000</v>
      </c>
    </row>
    <row r="5" spans="1:16" ht="15" customHeight="1" x14ac:dyDescent="0.3">
      <c r="A5" s="4" t="s">
        <v>96</v>
      </c>
      <c r="B5" s="18">
        <v>500</v>
      </c>
      <c r="C5" s="18">
        <v>3000</v>
      </c>
      <c r="D5" s="18">
        <v>9000</v>
      </c>
      <c r="E5" s="18">
        <v>17800</v>
      </c>
      <c r="F5" s="18">
        <v>17800</v>
      </c>
      <c r="G5" s="18">
        <v>17800</v>
      </c>
      <c r="H5" s="18">
        <v>17800</v>
      </c>
      <c r="I5" s="18">
        <v>17800</v>
      </c>
      <c r="J5" s="18">
        <v>17800</v>
      </c>
      <c r="K5" s="18">
        <v>15500</v>
      </c>
      <c r="L5" s="18">
        <v>13500</v>
      </c>
      <c r="M5" s="18">
        <v>11500</v>
      </c>
      <c r="N5" s="10">
        <v>10000</v>
      </c>
      <c r="O5" s="10">
        <v>10000</v>
      </c>
      <c r="P5" s="10">
        <v>10000</v>
      </c>
    </row>
    <row r="6" spans="1:16" ht="15" customHeight="1" x14ac:dyDescent="0.3">
      <c r="A6" s="4" t="s">
        <v>122</v>
      </c>
      <c r="B6" s="18">
        <v>500</v>
      </c>
      <c r="C6" s="18">
        <v>3000</v>
      </c>
      <c r="D6" s="18">
        <v>9000</v>
      </c>
      <c r="E6" s="18">
        <v>17800</v>
      </c>
      <c r="F6" s="18">
        <v>17800</v>
      </c>
      <c r="G6" s="18">
        <v>17800</v>
      </c>
      <c r="H6" s="18">
        <v>17800</v>
      </c>
      <c r="I6" s="18">
        <v>17800</v>
      </c>
      <c r="J6" s="18">
        <v>17800</v>
      </c>
      <c r="K6" s="18">
        <v>15500</v>
      </c>
      <c r="L6" s="18">
        <v>13500</v>
      </c>
      <c r="M6" s="18">
        <v>11500</v>
      </c>
      <c r="N6" s="10">
        <v>10000</v>
      </c>
      <c r="O6" s="10">
        <v>10000</v>
      </c>
      <c r="P6" s="10">
        <v>10000</v>
      </c>
    </row>
    <row r="7" spans="1:16" ht="15" customHeight="1" x14ac:dyDescent="0.3">
      <c r="A7" s="4" t="s">
        <v>123</v>
      </c>
      <c r="B7" s="18">
        <v>500</v>
      </c>
      <c r="C7" s="18">
        <v>3000</v>
      </c>
      <c r="D7" s="18">
        <v>9000</v>
      </c>
      <c r="E7" s="18">
        <v>17800</v>
      </c>
      <c r="F7" s="18">
        <v>17800</v>
      </c>
      <c r="G7" s="18">
        <v>17800</v>
      </c>
      <c r="H7" s="18">
        <v>17800</v>
      </c>
      <c r="I7" s="18">
        <v>17800</v>
      </c>
      <c r="J7" s="18">
        <v>17800</v>
      </c>
      <c r="K7" s="18">
        <v>15500</v>
      </c>
      <c r="L7" s="18">
        <v>13500</v>
      </c>
      <c r="M7" s="18">
        <v>11500</v>
      </c>
      <c r="N7" s="10">
        <v>10000</v>
      </c>
      <c r="O7" s="10">
        <v>10000</v>
      </c>
      <c r="P7" s="10">
        <v>10000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Campos</vt:lpstr>
      <vt:lpstr>Arandano 2026</vt:lpstr>
      <vt:lpstr>Limon 2026</vt:lpstr>
      <vt:lpstr>Cana 2026</vt:lpstr>
      <vt:lpstr>Plantaciones</vt:lpstr>
      <vt:lpstr>Curvas_rinde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sbaya</cp:lastModifiedBy>
  <cp:revision>0</cp:revision>
  <dcterms:created xsi:type="dcterms:W3CDTF">2026-04-21T18:33:39Z</dcterms:created>
  <dcterms:modified xsi:type="dcterms:W3CDTF">2026-04-24T16:46:02Z</dcterms:modified>
  <dc:language>en-US</dc:language>
</cp:coreProperties>
</file>