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mpos" sheetId="2" state="visible" r:id="rId2"/>
    <sheet xmlns:r="http://schemas.openxmlformats.org/officeDocument/2006/relationships" name="Arandano 2026" sheetId="3" state="visible" r:id="rId3"/>
    <sheet xmlns:r="http://schemas.openxmlformats.org/officeDocument/2006/relationships" name="Limon 2026" sheetId="4" state="visible" r:id="rId4"/>
    <sheet xmlns:r="http://schemas.openxmlformats.org/officeDocument/2006/relationships" name="Cana 2026" sheetId="5" state="visible" r:id="rId5"/>
    <sheet xmlns:r="http://schemas.openxmlformats.org/officeDocument/2006/relationships" name="Plantaciones" sheetId="6" state="visible" r:id="rId6"/>
    <sheet xmlns:r="http://schemas.openxmlformats.org/officeDocument/2006/relationships" name="Curvas_rinde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\$#,##0.00"/>
    <numFmt numFmtId="166" formatCode="\$#,##0.000"/>
    <numFmt numFmtId="167" formatCode="0.0%"/>
    <numFmt numFmtId="168" formatCode="$#,##0"/>
    <numFmt numFmtId="169" formatCode="$#,##0.0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A66"/>
      <sz val="16"/>
    </font>
    <font>
      <name val="Calibri"/>
      <charset val="1"/>
      <family val="0"/>
      <color rgb="FF333333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0000FF"/>
      <sz val="11"/>
    </font>
    <font>
      <name val="Calibri"/>
      <charset val="1"/>
      <family val="0"/>
      <color rgb="FF000000"/>
      <sz val="11"/>
    </font>
    <font>
      <name val="Calibri"/>
      <color rgb="000000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1F3A66"/>
        <bgColor rgb="FF333399"/>
      </patternFill>
    </fill>
    <fill>
      <patternFill patternType="solid">
        <fgColor rgb="FF4A6A9E"/>
        <bgColor rgb="FF3366FF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9" fontId="7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/>
    </xf>
    <xf numFmtId="164" fontId="9" fillId="0" borderId="2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9" fontId="7" fillId="0" borderId="1" applyAlignment="1" pivotButton="0" quotePrefix="0" xfId="0">
      <alignment horizontal="right" vertical="center"/>
    </xf>
    <xf numFmtId="3" fontId="9" fillId="0" borderId="2" applyAlignment="1" pivotButton="0" quotePrefix="0" xfId="0">
      <alignment horizontal="right" vertical="center"/>
    </xf>
    <xf numFmtId="168" fontId="9" fillId="0" borderId="2" applyAlignment="1" pivotButton="0" quotePrefix="0" xfId="0">
      <alignment horizontal="right" vertical="center"/>
    </xf>
    <xf numFmtId="3" fontId="10" fillId="0" borderId="2" applyAlignment="1" pivotButton="0" quotePrefix="0" xfId="0">
      <alignment horizontal="right" vertical="center"/>
    </xf>
    <xf numFmtId="169" fontId="10" fillId="0" borderId="2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6A9E"/>
      <rgbColor rgb="FF969696"/>
      <rgbColor rgb="FF1F3A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4.25" zeroHeight="0" outlineLevelRow="0"/>
  <cols>
    <col width="85" customWidth="1" style="15" min="1" max="1"/>
  </cols>
  <sheetData>
    <row r="1" ht="21" customHeight="1" s="16">
      <c r="A1" s="17" t="inlineStr">
        <is>
          <t>Panel Early Crop - Archivo de carga de datos</t>
        </is>
      </c>
    </row>
    <row r="2" ht="14.25" customHeight="1" s="16">
      <c r="A2" s="18" t="n"/>
    </row>
    <row r="3" ht="14.25" customHeight="1" s="16">
      <c r="A3" s="18" t="inlineStr">
        <is>
          <t>Este archivo alimenta el panel de campos. Esta estructurado en hojas:</t>
        </is>
      </c>
    </row>
    <row r="4" ht="14.25" customHeight="1" s="16">
      <c r="A4" s="18" t="n"/>
    </row>
    <row r="5" ht="14.25" customHeight="1" s="16">
      <c r="A5" s="18" t="inlineStr">
        <is>
          <t>• Campos - Catalogo maestro. Se edita cuando se agrega o modifica un campo.</t>
        </is>
      </c>
    </row>
    <row r="6" ht="14.25" customHeight="1" s="16">
      <c r="A6" s="18" t="inlineStr">
        <is>
          <t>• Arandano YYYY - Datos productivos y economicos del arandano por temporada.</t>
        </is>
      </c>
    </row>
    <row r="7" ht="14.25" customHeight="1" s="16">
      <c r="A7" s="18" t="inlineStr">
        <is>
          <t>• Limon YYYY - Idem limon.</t>
        </is>
      </c>
    </row>
    <row r="8" ht="14.25" customHeight="1" s="16">
      <c r="A8" s="18" t="inlineStr">
        <is>
          <t>• Cana YYYY - Idem cana de azucar.</t>
        </is>
      </c>
    </row>
    <row r="9" ht="14.25" customHeight="1" s="16">
      <c r="A9" s="18" t="n"/>
    </row>
    <row r="10" ht="14.25" customHeight="1" s="16">
      <c r="A10" s="18" t="inlineStr">
        <is>
          <t>Como agregar una nueva temporada:</t>
        </is>
      </c>
    </row>
    <row r="11" ht="14.25" customHeight="1" s="16">
      <c r="A11" s="18" t="inlineStr">
        <is>
          <t xml:space="preserve">  1. Duplicar la hoja de la temporada anterior del cultivo.</t>
        </is>
      </c>
    </row>
    <row r="12" ht="14.25" customHeight="1" s="16">
      <c r="A12" s="18" t="inlineStr">
        <is>
          <t xml:space="preserve">  2. Cambiar el nombre a "CULTIVO YYYY" (ej. "Arandano 2027").</t>
        </is>
      </c>
    </row>
    <row r="13" ht="14.25" customHeight="1" s="16">
      <c r="A13" s="18" t="inlineStr">
        <is>
          <t xml:space="preserve">  3. Actualizar la columna "temporada" a YYYY.</t>
        </is>
      </c>
    </row>
    <row r="14" ht="14.25" customHeight="1" s="16">
      <c r="A14" s="18" t="inlineStr">
        <is>
          <t xml:space="preserve">  4. Cargar los valores reales de la nueva temporada.</t>
        </is>
      </c>
    </row>
    <row r="15" ht="14.25" customHeight="1" s="16">
      <c r="A15" s="18" t="n"/>
    </row>
    <row r="16" ht="14.25" customHeight="1" s="16">
      <c r="A16" s="18" t="inlineStr">
        <is>
          <t>Como agregar un campo nuevo:</t>
        </is>
      </c>
    </row>
    <row r="17" ht="14.25" customHeight="1" s="16">
      <c r="A17" s="18" t="inlineStr">
        <is>
          <t xml:space="preserve">  1. Agregar fila en la hoja Campos con un id nuevo (ej. AR06).</t>
        </is>
      </c>
    </row>
    <row r="18" ht="14.25" customHeight="1" s="16">
      <c r="A18" s="18" t="inlineStr">
        <is>
          <t xml:space="preserve">  2. Agregar fila en la hoja de temporada del cultivo correspondiente.</t>
        </is>
      </c>
    </row>
    <row r="19" ht="14.25" customHeight="1" s="16">
      <c r="A19" s="18" t="n"/>
    </row>
    <row r="20" ht="14.25" customHeight="1" s="16">
      <c r="A20" s="18" t="inlineStr">
        <is>
          <t>Convenciones:</t>
        </is>
      </c>
    </row>
    <row r="21" ht="14.25" customHeight="1" s="16">
      <c r="A21" s="18" t="inlineStr">
        <is>
          <t xml:space="preserve">  • Valores monetarios en dolares (USD).</t>
        </is>
      </c>
    </row>
    <row r="22" ht="14.25" customHeight="1" s="16">
      <c r="A22" s="18" t="inlineStr">
        <is>
          <t xml:space="preserve">  • kg_totales es INPUT (cargar manualmente). kg_ha se calcula automaticamente (kg_totales / hectareas).</t>
        </is>
      </c>
    </row>
    <row r="23" ht="14.25" customHeight="1" s="16">
      <c r="A23" s="18" t="inlineStr">
        <is>
          <t xml:space="preserve">  • Porcentajes de variedades deben sumar 100% por campo.</t>
        </is>
      </c>
    </row>
    <row r="24" ht="14.25" customHeight="1" s="16">
      <c r="A24" s="18" t="inlineStr">
        <is>
          <t xml:space="preserve">  • Celdas en azul son inputs (se cargan manualmente).</t>
        </is>
      </c>
    </row>
    <row r="25" ht="14.25" customHeight="1" s="16">
      <c r="A25" s="18" t="inlineStr">
        <is>
          <t xml:space="preserve">  • IDs de campo tienen prefijo por cultivo: AR = arandano, LM = limon, CA = cana.</t>
        </is>
      </c>
    </row>
    <row r="26" ht="14.25" customHeight="1" s="16">
      <c r="A26" s="18" t="inlineStr">
        <is>
          <t xml:space="preserve">  • No usar tildes ni caracteres especiales en nombres de hojas.</t>
        </is>
      </c>
    </row>
    <row r="27" ht="14.25" customHeight="1" s="16">
      <c r="A27" s="18" t="n"/>
    </row>
    <row r="28" ht="14.25" customHeight="1" s="16">
      <c r="A28" s="18" t="inlineStr">
        <is>
          <t>Validaciones activas:</t>
        </is>
      </c>
    </row>
    <row r="29" ht="14.25" customHeight="1" s="16">
      <c r="A29" s="18" t="inlineStr">
        <is>
          <t xml:space="preserve">  • En Campos: cultivo (arandano/limon/cana) y entidad (PDJ/Fruit Crop/Greenpack).</t>
        </is>
      </c>
    </row>
    <row r="30" ht="14.25" customHeight="1" s="16">
      <c r="A30" s="18" t="inlineStr">
        <is>
          <t xml:space="preserve">  • En hojas de temporada: id_campo se valida contra la hoja Campos.</t>
        </is>
      </c>
    </row>
    <row r="31" ht="14.25" customHeight="1" s="16">
      <c r="A31" s="18" t="n"/>
    </row>
    <row r="32" ht="14.25" customHeight="1" s="16">
      <c r="A32" s="18" t="inlineStr">
        <is>
          <t>─── Plantación ───</t>
        </is>
      </c>
    </row>
    <row r="33" ht="14.25" customHeight="1" s="16">
      <c r="A33" s="18" t="n"/>
    </row>
    <row r="34" ht="14.25" customHeight="1" s="16">
      <c r="A34" s="18" t="inlineStr">
        <is>
          <t>• Plantaciones — Programa de plantación/recambio por campo y año.</t>
        </is>
      </c>
    </row>
    <row r="35" ht="14.25" customHeight="1" s="16">
      <c r="A35" s="18" t="inlineStr">
        <is>
          <t xml:space="preserve">  Cada fila es un bloque plantado en un año determinado.</t>
        </is>
      </c>
    </row>
    <row r="36" ht="14.25" customHeight="1" s="16">
      <c r="A36" s="18" t="inlineStr">
        <is>
          <t xml:space="preserve">  tipo: nueva (ha netas agregadas) o recambio (reemplazo de variedad).</t>
        </is>
      </c>
    </row>
    <row r="37" ht="14.25" customHeight="1" s="16">
      <c r="A37" s="18" t="inlineStr">
        <is>
          <t xml:space="preserve">  variedad: "por definir" si aún no hay decisión; opciones: Tafi, Slender, Naike, Moya, Pampa.</t>
        </is>
      </c>
    </row>
    <row r="38" ht="14.25" customHeight="1" s="16">
      <c r="A38" s="18" t="n"/>
    </row>
    <row r="39" ht="14.25" customHeight="1" s="16">
      <c r="A39" s="18" t="inlineStr">
        <is>
          <t>• Curvas_rinde — kg/ha por año desde la plantación para cada variedad.</t>
        </is>
      </c>
    </row>
    <row r="40" ht="14.25" customHeight="1" s="16">
      <c r="A40" s="18" t="inlineStr">
        <is>
          <t xml:space="preserve">  Año 1-2 = 0 (crecimiento).</t>
        </is>
      </c>
    </row>
    <row r="41" ht="14.25" customHeight="1" s="16">
      <c r="A41" s="18" t="inlineStr">
        <is>
          <t xml:space="preserve">  Año 3 = primera cosecha chica.</t>
        </is>
      </c>
    </row>
    <row r="42" ht="14.25" customHeight="1" s="16">
      <c r="A42" s="18" t="inlineStr">
        <is>
          <t xml:space="preserve">  Año 4 en adelante = pico productivo y declive posterior.</t>
        </is>
      </c>
    </row>
    <row r="43" ht="14.25" customHeight="1" s="16">
      <c r="A43" s="18" t="inlineStr">
        <is>
          <t xml:space="preserve">  Editar aquí para ajustar la proyección del panel.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5" activeCellId="0" sqref="C15"/>
    </sheetView>
  </sheetViews>
  <sheetFormatPr baseColWidth="8" defaultColWidth="8.66796875" defaultRowHeight="14.25" zeroHeight="0" outlineLevelRow="0"/>
  <cols>
    <col width="12" customWidth="1" style="15" min="1" max="2"/>
    <col width="24" customWidth="1" style="15" min="3" max="3"/>
    <col width="14" customWidth="1" style="15" min="4" max="5"/>
    <col width="12" customWidth="1" style="15" min="6" max="6"/>
  </cols>
  <sheetData>
    <row r="1" ht="14.25" customHeight="1" s="16">
      <c r="A1" s="19" t="inlineStr">
        <is>
          <t>id_campo</t>
        </is>
      </c>
      <c r="B1" s="19" t="inlineStr">
        <is>
          <t>cultivo</t>
        </is>
      </c>
      <c r="C1" s="19" t="inlineStr">
        <is>
          <t>nombre</t>
        </is>
      </c>
      <c r="D1" s="19" t="inlineStr">
        <is>
          <t>entidad</t>
        </is>
      </c>
      <c r="E1" s="19" t="inlineStr">
        <is>
          <t>agronomo</t>
        </is>
      </c>
      <c r="F1" s="19" t="inlineStr">
        <is>
          <t>hectareas</t>
        </is>
      </c>
    </row>
    <row r="2" ht="14.25" customHeight="1" s="16">
      <c r="A2" s="20" t="inlineStr">
        <is>
          <t>AR01</t>
        </is>
      </c>
      <c r="B2" s="20" t="inlineStr">
        <is>
          <t>arandano</t>
        </is>
      </c>
      <c r="C2" s="20" t="inlineStr">
        <is>
          <t>PDJ Sgto. Moya</t>
        </is>
      </c>
      <c r="D2" s="20" t="inlineStr">
        <is>
          <t>PDJ</t>
        </is>
      </c>
      <c r="E2" s="20" t="inlineStr">
        <is>
          <t>Carlino</t>
        </is>
      </c>
      <c r="F2" s="21" t="n">
        <v>77.5</v>
      </c>
    </row>
    <row r="3" ht="14.25" customHeight="1" s="16">
      <c r="A3" s="20" t="inlineStr">
        <is>
          <t>AR02</t>
        </is>
      </c>
      <c r="B3" s="20" t="inlineStr">
        <is>
          <t>arandano</t>
        </is>
      </c>
      <c r="C3" s="20" t="inlineStr">
        <is>
          <t>La Loma</t>
        </is>
      </c>
      <c r="D3" s="20" t="inlineStr">
        <is>
          <t>Fruit Crop</t>
        </is>
      </c>
      <c r="E3" s="20" t="inlineStr">
        <is>
          <t>Carlino</t>
        </is>
      </c>
      <c r="F3" s="21" t="n">
        <v>42</v>
      </c>
    </row>
    <row r="4" ht="14.25" customHeight="1" s="16">
      <c r="A4" s="20" t="inlineStr">
        <is>
          <t>AR03</t>
        </is>
      </c>
      <c r="B4" s="20" t="inlineStr">
        <is>
          <t>arandano</t>
        </is>
      </c>
      <c r="C4" s="20" t="inlineStr">
        <is>
          <t>La Angostura</t>
        </is>
      </c>
      <c r="D4" s="20" t="inlineStr">
        <is>
          <t>Fruit Crop</t>
        </is>
      </c>
      <c r="E4" s="20" t="inlineStr">
        <is>
          <t>Carlino</t>
        </is>
      </c>
      <c r="F4" s="21" t="n">
        <v>21.8</v>
      </c>
    </row>
    <row r="5" ht="14.25" customHeight="1" s="16">
      <c r="A5" s="20" t="inlineStr">
        <is>
          <t>AR04</t>
        </is>
      </c>
      <c r="B5" s="20" t="inlineStr">
        <is>
          <t>arandano</t>
        </is>
      </c>
      <c r="C5" s="20" t="inlineStr">
        <is>
          <t>El Molino</t>
        </is>
      </c>
      <c r="D5" s="20" t="inlineStr">
        <is>
          <t>Fruit Crop</t>
        </is>
      </c>
      <c r="E5" s="20" t="inlineStr">
        <is>
          <t>Carlino</t>
        </is>
      </c>
      <c r="F5" s="21" t="n">
        <v>20</v>
      </c>
    </row>
    <row r="6" ht="14.25" customHeight="1" s="16">
      <c r="A6" s="20" t="inlineStr">
        <is>
          <t>AR05</t>
        </is>
      </c>
      <c r="B6" s="20" t="inlineStr">
        <is>
          <t>arandano</t>
        </is>
      </c>
      <c r="C6" s="20" t="inlineStr">
        <is>
          <t>Palma Sola</t>
        </is>
      </c>
      <c r="D6" s="20" t="inlineStr">
        <is>
          <t>Fruit Crop</t>
        </is>
      </c>
      <c r="E6" s="20" t="inlineStr">
        <is>
          <t>Modernel</t>
        </is>
      </c>
      <c r="F6" s="21" t="n">
        <v>19.8</v>
      </c>
    </row>
    <row r="7" ht="14.25" customHeight="1" s="16">
      <c r="A7" s="22" t="inlineStr">
        <is>
          <t>AR06</t>
        </is>
      </c>
      <c r="B7" s="22" t="inlineStr">
        <is>
          <t>arandano</t>
        </is>
      </c>
      <c r="C7" s="22" t="inlineStr">
        <is>
          <t>Orlando</t>
        </is>
      </c>
      <c r="D7" s="22" t="inlineStr">
        <is>
          <t>PDJ</t>
        </is>
      </c>
      <c r="E7" s="22" t="inlineStr">
        <is>
          <t>Carlino</t>
        </is>
      </c>
      <c r="F7" s="23" t="n">
        <v>0</v>
      </c>
    </row>
    <row r="8" ht="14.25" customHeight="1" s="16">
      <c r="A8" s="20" t="inlineStr">
        <is>
          <t>LM01</t>
        </is>
      </c>
      <c r="B8" s="20" t="inlineStr">
        <is>
          <t>limon</t>
        </is>
      </c>
      <c r="C8" s="20" t="inlineStr">
        <is>
          <t>Yaquilo</t>
        </is>
      </c>
      <c r="D8" s="20" t="inlineStr">
        <is>
          <t>Fruit Crop</t>
        </is>
      </c>
      <c r="E8" s="20" t="inlineStr">
        <is>
          <t>Casadei</t>
        </is>
      </c>
      <c r="F8" s="21" t="n">
        <v>140</v>
      </c>
    </row>
    <row r="9" ht="14.25" customHeight="1" s="16">
      <c r="A9" s="20" t="inlineStr">
        <is>
          <t>LM02</t>
        </is>
      </c>
      <c r="B9" s="20" t="inlineStr">
        <is>
          <t>limon</t>
        </is>
      </c>
      <c r="C9" s="20" t="inlineStr">
        <is>
          <t>Casanova</t>
        </is>
      </c>
      <c r="D9" s="20" t="inlineStr">
        <is>
          <t>Fruit Crop</t>
        </is>
      </c>
      <c r="E9" s="20" t="inlineStr">
        <is>
          <t>Casadei</t>
        </is>
      </c>
      <c r="F9" s="21" t="n">
        <v>40</v>
      </c>
    </row>
    <row r="10" ht="14.25" customHeight="1" s="16">
      <c r="A10" s="20" t="inlineStr">
        <is>
          <t>LM03</t>
        </is>
      </c>
      <c r="B10" s="20" t="inlineStr">
        <is>
          <t>limon</t>
        </is>
      </c>
      <c r="C10" s="20" t="inlineStr">
        <is>
          <t>Tajamar</t>
        </is>
      </c>
      <c r="D10" s="20" t="inlineStr">
        <is>
          <t>Greenpack</t>
        </is>
      </c>
      <c r="E10" s="20" t="inlineStr">
        <is>
          <t>Casadei</t>
        </is>
      </c>
      <c r="F10" s="21" t="n">
        <v>130</v>
      </c>
    </row>
    <row r="11" ht="14.25" customHeight="1" s="16">
      <c r="A11" s="20" t="inlineStr">
        <is>
          <t>LM04</t>
        </is>
      </c>
      <c r="B11" s="20" t="inlineStr">
        <is>
          <t>limon</t>
        </is>
      </c>
      <c r="C11" s="20" t="inlineStr">
        <is>
          <t>Monte Grande</t>
        </is>
      </c>
      <c r="D11" s="20" t="inlineStr">
        <is>
          <t>Greenpack</t>
        </is>
      </c>
      <c r="E11" s="20" t="inlineStr">
        <is>
          <t>Casadei</t>
        </is>
      </c>
      <c r="F11" s="21" t="n">
        <v>45</v>
      </c>
    </row>
    <row r="12" ht="14.25" customHeight="1" s="16">
      <c r="A12" s="20" t="inlineStr">
        <is>
          <t>CA01</t>
        </is>
      </c>
      <c r="B12" s="20" t="inlineStr">
        <is>
          <t>cana</t>
        </is>
      </c>
      <c r="C12" s="20" t="inlineStr">
        <is>
          <t>Cana de Azucar</t>
        </is>
      </c>
      <c r="D12" s="20" t="inlineStr">
        <is>
          <t>Greenpack</t>
        </is>
      </c>
      <c r="E12" s="20" t="inlineStr">
        <is>
          <t>Casadei</t>
        </is>
      </c>
      <c r="F12" s="21" t="n">
        <v>100</v>
      </c>
    </row>
  </sheetData>
  <dataValidations count="2">
    <dataValidation sqref="B2:B200" showDropDown="0" showInputMessage="0" showErrorMessage="0" allowBlank="0" errorTitle="Cultivo invalido" error="Valor invalido. Debe ser arandano, limon o cana." type="list" errorStyle="stop" operator="between">
      <formula1>"arandano,limon,cana"</formula1>
      <formula2>0</formula2>
    </dataValidation>
    <dataValidation sqref="D2:D200" showDropDown="0" showInputMessage="0" showErrorMessage="0" allowBlank="0" errorTitle="Entidad invalida" error="Valor invalido. Debe ser PDJ, Fruit Crop o Greenpack." type="list" errorStyle="stop" operator="between">
      <formula1>"PDJ,Fruit Crop,Greenpack"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U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5" activeCellId="0" sqref="J5"/>
    </sheetView>
  </sheetViews>
  <sheetFormatPr baseColWidth="8" defaultColWidth="8.66796875" defaultRowHeight="14.25" zeroHeight="0" outlineLevelRow="0"/>
  <cols>
    <col width="12" customWidth="1" style="15" min="1" max="1"/>
    <col width="11" customWidth="1" style="15" min="2" max="4"/>
    <col width="12.67" customWidth="1" style="15" min="5" max="5"/>
    <col width="14.21" customWidth="1" style="15" min="6" max="6"/>
    <col width="13.22" customWidth="1" style="15" min="7" max="7"/>
    <col width="16" customWidth="1" style="15" min="8" max="8"/>
    <col width="18.11" customWidth="1" style="15" min="9" max="9"/>
    <col width="14" customWidth="1" style="15" min="10" max="10"/>
    <col width="17" customWidth="1" style="15" min="11" max="11"/>
    <col width="14" customWidth="1" style="15" min="12" max="12"/>
    <col width="17" customWidth="1" style="15" min="13" max="13"/>
    <col width="10" customWidth="1" style="15" min="14" max="14"/>
    <col width="17" customWidth="1" style="15" min="15" max="15"/>
    <col width="10" customWidth="1" style="15" min="16" max="16"/>
    <col width="17" customWidth="1" style="15" min="17" max="17"/>
    <col width="10" customWidth="1" style="15" min="18" max="18"/>
    <col width="17" customWidth="1" style="15" min="19" max="19"/>
    <col width="10" customWidth="1" style="15" min="20" max="20"/>
  </cols>
  <sheetData>
    <row r="1" ht="14.25" customHeight="1" s="16">
      <c r="A1" s="19" t="inlineStr">
        <is>
          <t>id_campo</t>
        </is>
      </c>
      <c r="B1" s="19" t="inlineStr">
        <is>
          <t>temporada</t>
        </is>
      </c>
      <c r="C1" s="19" t="inlineStr">
        <is>
          <t>kg_totales</t>
        </is>
      </c>
      <c r="D1" s="19" t="inlineStr">
        <is>
          <t>kg_ha</t>
        </is>
      </c>
      <c r="E1" s="19" t="inlineStr">
        <is>
          <t>costo_ha_usd</t>
        </is>
      </c>
      <c r="F1" s="19" t="inlineStr">
        <is>
          <t>ingreso_ha_usd</t>
        </is>
      </c>
      <c r="G1" s="19" t="inlineStr">
        <is>
          <t>precio_kg_usd</t>
        </is>
      </c>
      <c r="H1" s="19" t="inlineStr">
        <is>
          <t>plantas_ha</t>
        </is>
      </c>
      <c r="I1" s="19" t="inlineStr">
        <is>
          <t>edad_plantacion</t>
        </is>
      </c>
      <c r="J1" s="24" t="inlineStr">
        <is>
          <t>variedad_1_nombre</t>
        </is>
      </c>
      <c r="K1" s="24" t="inlineStr">
        <is>
          <t>variedad_1_pct</t>
        </is>
      </c>
      <c r="L1" s="24" t="inlineStr">
        <is>
          <t>variedad_2_nombre</t>
        </is>
      </c>
      <c r="M1" s="24" t="inlineStr">
        <is>
          <t>variedad_2_pct</t>
        </is>
      </c>
      <c r="N1" s="24" t="inlineStr">
        <is>
          <t>variedad_3_nombre</t>
        </is>
      </c>
      <c r="O1" s="24" t="inlineStr">
        <is>
          <t>variedad_3_pct</t>
        </is>
      </c>
      <c r="P1" s="24" t="inlineStr">
        <is>
          <t>variedad_4_nombre</t>
        </is>
      </c>
      <c r="Q1" s="24" t="inlineStr">
        <is>
          <t>variedad_4_pct</t>
        </is>
      </c>
      <c r="R1" s="24" t="inlineStr">
        <is>
          <t>variedad_5_nombre</t>
        </is>
      </c>
      <c r="S1" s="24" t="inlineStr">
        <is>
          <t>variedad_5_pct</t>
        </is>
      </c>
      <c r="T1" s="24" t="inlineStr">
        <is>
          <t>variedad_6_nombre</t>
        </is>
      </c>
      <c r="U1" s="24" t="inlineStr">
        <is>
          <t>variedad_6_pct</t>
        </is>
      </c>
    </row>
    <row r="2" ht="14.25" customHeight="1" s="16">
      <c r="A2" s="20" t="inlineStr">
        <is>
          <t>AR01</t>
        </is>
      </c>
      <c r="B2" s="25" t="n">
        <v>2026</v>
      </c>
      <c r="C2" s="26" t="n">
        <v>702372</v>
      </c>
      <c r="D2" s="34" t="n">
        <v>9062.864516129031</v>
      </c>
      <c r="E2" s="26" t="n">
        <v>12000</v>
      </c>
      <c r="F2" s="35" t="n">
        <v>50661.41264516128</v>
      </c>
      <c r="G2" s="29" t="n">
        <v>5.59</v>
      </c>
      <c r="H2" s="26" t="n">
        <v>3432</v>
      </c>
      <c r="I2" s="26" t="n">
        <v>6</v>
      </c>
      <c r="J2" s="20" t="inlineStr">
        <is>
          <t>Emerald</t>
        </is>
      </c>
      <c r="K2" s="30" t="n">
        <v>0.45</v>
      </c>
      <c r="L2" s="20" t="inlineStr">
        <is>
          <t>Slender</t>
        </is>
      </c>
      <c r="M2" s="30" t="n">
        <v>0.35</v>
      </c>
      <c r="N2" s="20" t="inlineStr">
        <is>
          <t>Biloxi</t>
        </is>
      </c>
      <c r="O2" s="30" t="n">
        <v>0.2</v>
      </c>
      <c r="P2" s="20" t="n"/>
      <c r="Q2" s="30" t="n"/>
      <c r="R2" s="20" t="n"/>
      <c r="S2" s="30" t="n"/>
      <c r="T2" s="20" t="n"/>
      <c r="U2" s="30" t="n"/>
    </row>
    <row r="3" ht="14.25" customHeight="1" s="16">
      <c r="A3" s="20" t="inlineStr">
        <is>
          <t>AR02</t>
        </is>
      </c>
      <c r="B3" s="25" t="n">
        <v>2026</v>
      </c>
      <c r="C3" s="26" t="n">
        <v>382194</v>
      </c>
      <c r="D3" s="34" t="n">
        <v>9099.857142857143</v>
      </c>
      <c r="E3" s="26" t="n">
        <v>11500</v>
      </c>
      <c r="F3" s="35" t="n">
        <v>53143.16571428571</v>
      </c>
      <c r="G3" s="29" t="n">
        <v>5.84</v>
      </c>
      <c r="H3" s="26" t="n">
        <v>3286</v>
      </c>
      <c r="I3" s="26" t="n">
        <v>4</v>
      </c>
      <c r="J3" s="20" t="inlineStr">
        <is>
          <t>Emerald</t>
        </is>
      </c>
      <c r="K3" s="30" t="n">
        <v>0.4</v>
      </c>
      <c r="L3" s="20" t="inlineStr">
        <is>
          <t>Tafi</t>
        </is>
      </c>
      <c r="M3" s="30" t="n">
        <v>0.35</v>
      </c>
      <c r="N3" s="20" t="inlineStr">
        <is>
          <t>Snowchaser</t>
        </is>
      </c>
      <c r="O3" s="30" t="n">
        <v>0.25</v>
      </c>
      <c r="P3" s="20" t="n"/>
      <c r="Q3" s="30" t="n"/>
      <c r="R3" s="20" t="n"/>
      <c r="S3" s="30" t="n"/>
      <c r="T3" s="20" t="n"/>
      <c r="U3" s="30" t="n"/>
    </row>
    <row r="4" ht="14.25" customHeight="1" s="16">
      <c r="A4" s="20" t="inlineStr">
        <is>
          <t>AR03</t>
        </is>
      </c>
      <c r="B4" s="25" t="n">
        <v>2026</v>
      </c>
      <c r="C4" s="26" t="n">
        <v>201890</v>
      </c>
      <c r="D4" s="34" t="n">
        <v>9261.009174311926</v>
      </c>
      <c r="E4" s="26" t="n">
        <v>13000</v>
      </c>
      <c r="F4" s="35" t="n">
        <v>55936.49541284404</v>
      </c>
      <c r="G4" s="29" t="n">
        <v>6.04</v>
      </c>
      <c r="H4" s="26" t="n">
        <v>4495</v>
      </c>
      <c r="I4" s="26" t="n">
        <v>9</v>
      </c>
      <c r="J4" s="20" t="inlineStr">
        <is>
          <t>Emerald</t>
        </is>
      </c>
      <c r="K4" s="30" t="n">
        <v>0.6</v>
      </c>
      <c r="L4" s="20" t="inlineStr">
        <is>
          <t>Biloxi</t>
        </is>
      </c>
      <c r="M4" s="30" t="n">
        <v>0.4</v>
      </c>
      <c r="N4" s="20" t="n"/>
      <c r="O4" s="30" t="n"/>
      <c r="P4" s="20" t="n"/>
      <c r="Q4" s="30" t="n"/>
      <c r="R4" s="20" t="n"/>
      <c r="S4" s="30" t="n"/>
      <c r="T4" s="20" t="n"/>
      <c r="U4" s="30" t="n"/>
    </row>
    <row r="5" ht="14.25" customHeight="1" s="16">
      <c r="A5" s="20" t="inlineStr">
        <is>
          <t>AR04</t>
        </is>
      </c>
      <c r="B5" s="25" t="n">
        <v>2026</v>
      </c>
      <c r="C5" s="26" t="n">
        <v>64800</v>
      </c>
      <c r="D5" s="34" t="n">
        <v>3240</v>
      </c>
      <c r="E5" s="26" t="n">
        <v>12500</v>
      </c>
      <c r="F5" s="35" t="n">
        <v>14515.2</v>
      </c>
      <c r="G5" s="29" t="n">
        <v>4.48</v>
      </c>
      <c r="H5" s="26" t="n">
        <v>500</v>
      </c>
      <c r="I5" s="26" t="n">
        <v>1</v>
      </c>
      <c r="J5" s="20" t="inlineStr">
        <is>
          <t>Tafi</t>
        </is>
      </c>
      <c r="K5" s="30" t="n">
        <v>0.4</v>
      </c>
      <c r="L5" s="20" t="inlineStr">
        <is>
          <t>Snowchaser</t>
        </is>
      </c>
      <c r="M5" s="30" t="n">
        <v>0.35</v>
      </c>
      <c r="N5" s="20" t="inlineStr">
        <is>
          <t>Slender</t>
        </is>
      </c>
      <c r="O5" s="30" t="n">
        <v>0.25</v>
      </c>
      <c r="P5" s="20" t="n"/>
      <c r="Q5" s="30" t="n"/>
      <c r="R5" s="20" t="n"/>
      <c r="S5" s="30" t="n"/>
      <c r="T5" s="20" t="n"/>
      <c r="U5" s="30" t="n"/>
    </row>
    <row r="6" ht="14.25" customHeight="1" s="16">
      <c r="A6" s="20" t="inlineStr">
        <is>
          <t>AR05</t>
        </is>
      </c>
      <c r="B6" s="25" t="n">
        <v>2026</v>
      </c>
      <c r="C6" s="26" t="n">
        <v>244489</v>
      </c>
      <c r="D6" s="34" t="n">
        <v>12347.92929292929</v>
      </c>
      <c r="E6" s="26" t="n">
        <v>11000</v>
      </c>
      <c r="F6" s="35" t="n">
        <v>53960.45101010102</v>
      </c>
      <c r="G6" s="29" t="n">
        <v>4.37</v>
      </c>
      <c r="H6" s="26" t="n">
        <v>3283</v>
      </c>
      <c r="I6" s="26" t="n">
        <v>3</v>
      </c>
      <c r="J6" s="20" t="inlineStr">
        <is>
          <t>Emerald</t>
        </is>
      </c>
      <c r="K6" s="30" t="n">
        <v>0.3</v>
      </c>
      <c r="L6" s="20" t="inlineStr">
        <is>
          <t>Slender</t>
        </is>
      </c>
      <c r="M6" s="30" t="n">
        <v>0.3</v>
      </c>
      <c r="N6" s="20" t="inlineStr">
        <is>
          <t>Snowchaser</t>
        </is>
      </c>
      <c r="O6" s="30" t="n">
        <v>0.25</v>
      </c>
      <c r="P6" s="20" t="inlineStr">
        <is>
          <t>Naike</t>
        </is>
      </c>
      <c r="Q6" s="30" t="n">
        <v>0.15</v>
      </c>
      <c r="R6" s="20" t="n"/>
      <c r="S6" s="30" t="n"/>
      <c r="T6" s="20" t="n"/>
      <c r="U6" s="3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U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8" activeCellId="0" sqref="H8"/>
    </sheetView>
  </sheetViews>
  <sheetFormatPr baseColWidth="8" defaultColWidth="8.66796875" defaultRowHeight="14.25" zeroHeight="0" outlineLevelRow="0"/>
  <cols>
    <col width="12" customWidth="1" style="15" min="1" max="1"/>
    <col width="11" customWidth="1" style="15" min="2" max="4"/>
    <col width="12.67" customWidth="1" style="15" min="5" max="5"/>
    <col width="14.21" customWidth="1" style="15" min="6" max="6"/>
    <col width="12" customWidth="1" style="15" min="7" max="7"/>
    <col width="16" customWidth="1" style="15" min="8" max="8"/>
    <col width="17" customWidth="1" style="15" min="9" max="9"/>
    <col width="10" customWidth="1" style="15" min="10" max="10"/>
    <col width="17" customWidth="1" style="15" min="11" max="11"/>
    <col width="10" customWidth="1" style="15" min="12" max="12"/>
    <col width="17" customWidth="1" style="15" min="13" max="13"/>
    <col width="10" customWidth="1" style="15" min="14" max="14"/>
    <col width="17" customWidth="1" style="15" min="15" max="15"/>
    <col width="10" customWidth="1" style="15" min="16" max="16"/>
    <col width="17" customWidth="1" style="15" min="17" max="17"/>
    <col width="10" customWidth="1" style="15" min="18" max="18"/>
    <col width="17" customWidth="1" style="15" min="19" max="19"/>
    <col width="10" customWidth="1" style="15" min="20" max="20"/>
  </cols>
  <sheetData>
    <row r="1" ht="14.25" customHeight="1" s="16">
      <c r="A1" s="19" t="inlineStr">
        <is>
          <t>id_campo</t>
        </is>
      </c>
      <c r="B1" s="19" t="inlineStr">
        <is>
          <t>temporada</t>
        </is>
      </c>
      <c r="C1" s="19" t="inlineStr">
        <is>
          <t>kg_totales</t>
        </is>
      </c>
      <c r="D1" s="19" t="inlineStr">
        <is>
          <t>kg_ha</t>
        </is>
      </c>
      <c r="E1" s="19" t="inlineStr">
        <is>
          <t>costo_ha_usd</t>
        </is>
      </c>
      <c r="F1" s="19" t="inlineStr">
        <is>
          <t>ingreso_ha_usd</t>
        </is>
      </c>
      <c r="G1" s="19" t="inlineStr">
        <is>
          <t>precio_kg_usd</t>
        </is>
      </c>
      <c r="H1" s="19" t="inlineStr">
        <is>
          <t>plantas_ha</t>
        </is>
      </c>
      <c r="I1" s="19" t="inlineStr">
        <is>
          <t>edad_plantacion</t>
        </is>
      </c>
      <c r="J1" s="24" t="inlineStr">
        <is>
          <t>variedad_1_nombre</t>
        </is>
      </c>
      <c r="K1" s="24" t="inlineStr">
        <is>
          <t>variedad_1_pct</t>
        </is>
      </c>
      <c r="L1" s="24" t="inlineStr">
        <is>
          <t>variedad_2_nombre</t>
        </is>
      </c>
      <c r="M1" s="24" t="inlineStr">
        <is>
          <t>variedad_2_pct</t>
        </is>
      </c>
      <c r="N1" s="24" t="inlineStr">
        <is>
          <t>variedad_3_nombre</t>
        </is>
      </c>
      <c r="O1" s="24" t="inlineStr">
        <is>
          <t>variedad_3_pct</t>
        </is>
      </c>
      <c r="P1" s="24" t="inlineStr">
        <is>
          <t>variedad_4_nombre</t>
        </is>
      </c>
      <c r="Q1" s="24" t="inlineStr">
        <is>
          <t>variedad_4_pct</t>
        </is>
      </c>
      <c r="R1" s="24" t="inlineStr">
        <is>
          <t>variedad_5_nombre</t>
        </is>
      </c>
      <c r="S1" s="24" t="inlineStr">
        <is>
          <t>variedad_5_pct</t>
        </is>
      </c>
      <c r="T1" s="24" t="inlineStr">
        <is>
          <t>variedad_6_nombre</t>
        </is>
      </c>
      <c r="U1" s="24" t="inlineStr">
        <is>
          <t>variedad_6_pct</t>
        </is>
      </c>
    </row>
    <row r="2" ht="14.25" customHeight="1" s="16">
      <c r="A2" s="20" t="inlineStr">
        <is>
          <t>LM01</t>
        </is>
      </c>
      <c r="B2" s="25" t="n">
        <v>2026</v>
      </c>
      <c r="C2" s="26" t="n">
        <v>4515420</v>
      </c>
      <c r="D2" s="34" t="n">
        <v>32253</v>
      </c>
      <c r="E2" s="26" t="n">
        <v>4200</v>
      </c>
      <c r="F2" s="35" t="n">
        <v>18835.752</v>
      </c>
      <c r="G2" s="29" t="n">
        <v>0.584</v>
      </c>
      <c r="H2" s="26" t="n">
        <v>474</v>
      </c>
      <c r="I2" s="26" t="n">
        <v>14</v>
      </c>
      <c r="J2" s="20" t="inlineStr">
        <is>
          <t>Eureka</t>
        </is>
      </c>
      <c r="K2" s="30" t="n">
        <v>0.7</v>
      </c>
      <c r="L2" s="20" t="inlineStr">
        <is>
          <t>Genova</t>
        </is>
      </c>
      <c r="M2" s="30" t="n">
        <v>0.3</v>
      </c>
      <c r="N2" s="20" t="n"/>
      <c r="O2" s="30" t="n"/>
      <c r="P2" s="20" t="n"/>
      <c r="Q2" s="30" t="n"/>
      <c r="R2" s="20" t="n"/>
      <c r="S2" s="30" t="n"/>
      <c r="T2" s="20" t="n"/>
      <c r="U2" s="30" t="n"/>
    </row>
    <row r="3" ht="14.25" customHeight="1" s="16">
      <c r="A3" s="20" t="inlineStr">
        <is>
          <t>LM02</t>
        </is>
      </c>
      <c r="B3" s="25" t="n">
        <v>2026</v>
      </c>
      <c r="C3" s="26" t="n">
        <v>1108688</v>
      </c>
      <c r="D3" s="34" t="n">
        <v>27717.2</v>
      </c>
      <c r="E3" s="26" t="n">
        <v>6000</v>
      </c>
      <c r="F3" s="35" t="n">
        <v>16186.8448</v>
      </c>
      <c r="G3" s="29" t="n">
        <v>0.584</v>
      </c>
      <c r="H3" s="26" t="n">
        <v>413</v>
      </c>
      <c r="I3" s="26" t="n">
        <v>22</v>
      </c>
      <c r="J3" s="20" t="inlineStr">
        <is>
          <t>Eureka</t>
        </is>
      </c>
      <c r="K3" s="30" t="n">
        <v>0.6</v>
      </c>
      <c r="L3" s="20" t="inlineStr">
        <is>
          <t>Lisbon</t>
        </is>
      </c>
      <c r="M3" s="30" t="n">
        <v>0.4</v>
      </c>
      <c r="N3" s="20" t="n"/>
      <c r="O3" s="30" t="n"/>
      <c r="P3" s="20" t="n"/>
      <c r="Q3" s="30" t="n"/>
      <c r="R3" s="20" t="n"/>
      <c r="S3" s="30" t="n"/>
      <c r="T3" s="20" t="n"/>
      <c r="U3" s="30" t="n"/>
    </row>
    <row r="4" ht="14.25" customHeight="1" s="16">
      <c r="A4" s="20" t="inlineStr">
        <is>
          <t>LM03</t>
        </is>
      </c>
      <c r="B4" s="25" t="n">
        <v>2026</v>
      </c>
      <c r="C4" s="26" t="n">
        <v>2761449</v>
      </c>
      <c r="D4" s="34" t="n">
        <v>21241.91538461539</v>
      </c>
      <c r="E4" s="26" t="n">
        <v>5000</v>
      </c>
      <c r="F4" s="35" t="n">
        <v>12405.27858461538</v>
      </c>
      <c r="G4" s="29" t="n">
        <v>0.584</v>
      </c>
      <c r="H4" s="26" t="n">
        <v>373</v>
      </c>
      <c r="I4" s="26" t="n">
        <v>11</v>
      </c>
      <c r="J4" s="20" t="inlineStr">
        <is>
          <t>Eureka</t>
        </is>
      </c>
      <c r="K4" s="30" t="n">
        <v>0.5</v>
      </c>
      <c r="L4" s="20" t="inlineStr">
        <is>
          <t>Genova</t>
        </is>
      </c>
      <c r="M4" s="30" t="n">
        <v>0.3</v>
      </c>
      <c r="N4" s="20" t="inlineStr">
        <is>
          <t>Lisbon</t>
        </is>
      </c>
      <c r="O4" s="30" t="n">
        <v>0.2</v>
      </c>
      <c r="P4" s="20" t="n"/>
      <c r="Q4" s="30" t="n"/>
      <c r="R4" s="20" t="n"/>
      <c r="S4" s="30" t="n"/>
      <c r="T4" s="20" t="n"/>
      <c r="U4" s="30" t="n"/>
    </row>
    <row r="5" ht="14.25" customHeight="1" s="16">
      <c r="A5" s="20" t="inlineStr">
        <is>
          <t>LM04</t>
        </is>
      </c>
      <c r="B5" s="25" t="n">
        <v>2026</v>
      </c>
      <c r="C5" s="26" t="n">
        <v>213847</v>
      </c>
      <c r="D5" s="34" t="n">
        <v>4752.155555555555</v>
      </c>
      <c r="E5" s="26" t="n">
        <v>4550</v>
      </c>
      <c r="F5" s="35" t="n">
        <v>2775.258844444444</v>
      </c>
      <c r="G5" s="29" t="n">
        <v>0.584</v>
      </c>
      <c r="H5" s="26" t="n">
        <v>309</v>
      </c>
      <c r="I5" s="26" t="n">
        <v>8</v>
      </c>
      <c r="J5" s="20" t="inlineStr">
        <is>
          <t>Eureka</t>
        </is>
      </c>
      <c r="K5" s="30" t="n">
        <v>0.65</v>
      </c>
      <c r="L5" s="20" t="inlineStr">
        <is>
          <t>Genova</t>
        </is>
      </c>
      <c r="M5" s="30" t="n">
        <v>0.35</v>
      </c>
      <c r="N5" s="20" t="n"/>
      <c r="O5" s="30" t="n"/>
      <c r="P5" s="20" t="n"/>
      <c r="Q5" s="30" t="n"/>
      <c r="R5" s="20" t="n"/>
      <c r="S5" s="30" t="n"/>
      <c r="T5" s="20" t="n"/>
      <c r="U5" s="3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U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8" activeCellId="0" sqref="H8"/>
    </sheetView>
  </sheetViews>
  <sheetFormatPr baseColWidth="8" defaultColWidth="8.66796875" defaultRowHeight="14.25" zeroHeight="0" outlineLevelRow="0"/>
  <cols>
    <col width="12" customWidth="1" style="15" min="1" max="1"/>
    <col width="11" customWidth="1" style="15" min="2" max="5"/>
    <col width="13" customWidth="1" style="15" min="6" max="6"/>
    <col width="12" customWidth="1" style="15" min="7" max="7"/>
    <col width="16" customWidth="1" style="15" min="8" max="8"/>
    <col width="17" customWidth="1" style="15" min="9" max="9"/>
    <col width="10" customWidth="1" style="15" min="10" max="10"/>
    <col width="17" customWidth="1" style="15" min="11" max="11"/>
    <col width="10" customWidth="1" style="15" min="12" max="12"/>
    <col width="17" customWidth="1" style="15" min="13" max="13"/>
    <col width="10" customWidth="1" style="15" min="14" max="14"/>
    <col width="17" customWidth="1" style="15" min="15" max="15"/>
    <col width="10" customWidth="1" style="15" min="16" max="16"/>
    <col width="17" customWidth="1" style="15" min="17" max="17"/>
    <col width="10" customWidth="1" style="15" min="18" max="18"/>
    <col width="17" customWidth="1" style="15" min="19" max="19"/>
    <col width="10" customWidth="1" style="15" min="20" max="20"/>
  </cols>
  <sheetData>
    <row r="1" ht="14.25" customHeight="1" s="16">
      <c r="A1" s="19" t="inlineStr">
        <is>
          <t>id_campo</t>
        </is>
      </c>
      <c r="B1" s="19" t="inlineStr">
        <is>
          <t>temporada</t>
        </is>
      </c>
      <c r="C1" s="19" t="inlineStr">
        <is>
          <t>kg_totales</t>
        </is>
      </c>
      <c r="D1" s="19" t="inlineStr">
        <is>
          <t>kg_ha</t>
        </is>
      </c>
      <c r="E1" s="19" t="inlineStr">
        <is>
          <t>costo_ha_usd</t>
        </is>
      </c>
      <c r="F1" s="19" t="inlineStr">
        <is>
          <t>ingreso_ha_usd</t>
        </is>
      </c>
      <c r="G1" s="19" t="inlineStr">
        <is>
          <t>precio_kg_usd</t>
        </is>
      </c>
      <c r="H1" s="19" t="inlineStr">
        <is>
          <t>plantas_ha</t>
        </is>
      </c>
      <c r="I1" s="19" t="inlineStr">
        <is>
          <t>edad_plantacion</t>
        </is>
      </c>
      <c r="J1" s="24" t="inlineStr">
        <is>
          <t>variedad_1_nombre</t>
        </is>
      </c>
      <c r="K1" s="24" t="inlineStr">
        <is>
          <t>variedad_1_pct</t>
        </is>
      </c>
      <c r="L1" s="24" t="inlineStr">
        <is>
          <t>variedad_2_nombre</t>
        </is>
      </c>
      <c r="M1" s="24" t="inlineStr">
        <is>
          <t>variedad_2_pct</t>
        </is>
      </c>
      <c r="N1" s="24" t="inlineStr">
        <is>
          <t>variedad_3_nombre</t>
        </is>
      </c>
      <c r="O1" s="24" t="inlineStr">
        <is>
          <t>variedad_3_pct</t>
        </is>
      </c>
      <c r="P1" s="24" t="inlineStr">
        <is>
          <t>variedad_4_nombre</t>
        </is>
      </c>
      <c r="Q1" s="24" t="inlineStr">
        <is>
          <t>variedad_4_pct</t>
        </is>
      </c>
      <c r="R1" s="24" t="inlineStr">
        <is>
          <t>variedad_5_nombre</t>
        </is>
      </c>
      <c r="S1" s="24" t="inlineStr">
        <is>
          <t>variedad_5_pct</t>
        </is>
      </c>
      <c r="T1" s="24" t="inlineStr">
        <is>
          <t>variedad_6_nombre</t>
        </is>
      </c>
      <c r="U1" s="24" t="inlineStr">
        <is>
          <t>variedad_6_pct</t>
        </is>
      </c>
    </row>
    <row r="2" ht="14.25" customHeight="1" s="16">
      <c r="A2" s="20" t="inlineStr">
        <is>
          <t>CA01</t>
        </is>
      </c>
      <c r="B2" s="25" t="n">
        <v>2026</v>
      </c>
      <c r="C2" s="26" t="n">
        <v>0</v>
      </c>
      <c r="D2" s="34">
        <f>IF(C2="","",C2/VLOOKUP(A2,Campos!$A:$F,6,FALSE))</f>
        <v/>
      </c>
      <c r="E2" s="26" t="n">
        <v>0</v>
      </c>
      <c r="F2" s="35">
        <f>IF(OR(D2="",G2=""),"",D2*G2)</f>
        <v/>
      </c>
      <c r="G2" s="29" t="n">
        <v>0</v>
      </c>
      <c r="H2" s="26" t="n"/>
      <c r="I2" s="26" t="n">
        <v>3</v>
      </c>
      <c r="J2" s="20" t="n"/>
      <c r="K2" s="30" t="n"/>
      <c r="L2" s="20" t="n"/>
      <c r="M2" s="30" t="n"/>
      <c r="N2" s="20" t="n"/>
      <c r="O2" s="30" t="n"/>
      <c r="P2" s="20" t="n"/>
      <c r="Q2" s="30" t="n"/>
      <c r="R2" s="20" t="n"/>
      <c r="S2" s="30" t="n"/>
      <c r="T2" s="20" t="n"/>
      <c r="U2" s="3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5" min="1" max="1"/>
    <col width="10" customWidth="1" style="15" min="2" max="2"/>
    <col width="13" customWidth="1" style="15" min="3" max="4"/>
    <col width="18" customWidth="1" style="15" min="5" max="5"/>
    <col width="14" customWidth="1" style="15" min="6" max="6"/>
  </cols>
  <sheetData>
    <row r="1" ht="15" customHeight="1" s="16">
      <c r="A1" s="19" t="inlineStr">
        <is>
          <t>id_campo</t>
        </is>
      </c>
      <c r="B1" s="19" t="inlineStr">
        <is>
          <t>año</t>
        </is>
      </c>
      <c r="C1" s="19" t="inlineStr">
        <is>
          <t>tipo</t>
        </is>
      </c>
      <c r="D1" s="19" t="inlineStr">
        <is>
          <t>hectareas</t>
        </is>
      </c>
      <c r="E1" s="19" t="inlineStr">
        <is>
          <t>variedad</t>
        </is>
      </c>
      <c r="F1" s="19" t="inlineStr">
        <is>
          <t>pct_variedad</t>
        </is>
      </c>
    </row>
    <row r="2" ht="15" customHeight="1" s="16">
      <c r="A2" s="20" t="inlineStr">
        <is>
          <t>AR04</t>
        </is>
      </c>
      <c r="B2" s="25" t="n">
        <v>2026</v>
      </c>
      <c r="C2" s="20" t="inlineStr">
        <is>
          <t>nueva</t>
        </is>
      </c>
      <c r="D2" s="21" t="n">
        <v>16</v>
      </c>
      <c r="E2" s="20" t="inlineStr">
        <is>
          <t>por definir</t>
        </is>
      </c>
      <c r="F2" s="31" t="n">
        <v>1</v>
      </c>
    </row>
    <row r="3" ht="15" customHeight="1" s="16">
      <c r="A3" s="20" t="inlineStr">
        <is>
          <t>AR02</t>
        </is>
      </c>
      <c r="B3" s="25" t="n">
        <v>2028</v>
      </c>
      <c r="C3" s="20" t="inlineStr">
        <is>
          <t>nueva</t>
        </is>
      </c>
      <c r="D3" s="21" t="n">
        <v>6</v>
      </c>
      <c r="E3" s="20" t="inlineStr">
        <is>
          <t>por definir</t>
        </is>
      </c>
      <c r="F3" s="31" t="n">
        <v>1</v>
      </c>
    </row>
    <row r="4" ht="15" customHeight="1" s="16">
      <c r="A4" s="20" t="inlineStr">
        <is>
          <t>AR02</t>
        </is>
      </c>
      <c r="B4" s="25" t="n">
        <v>2028</v>
      </c>
      <c r="C4" s="20" t="inlineStr">
        <is>
          <t>recambio</t>
        </is>
      </c>
      <c r="D4" s="21" t="n">
        <v>4</v>
      </c>
      <c r="E4" s="20" t="inlineStr">
        <is>
          <t>por definir</t>
        </is>
      </c>
      <c r="F4" s="31" t="n">
        <v>1</v>
      </c>
    </row>
    <row r="5" ht="15" customHeight="1" s="16">
      <c r="A5" s="20" t="inlineStr">
        <is>
          <t>AR02</t>
        </is>
      </c>
      <c r="B5" s="25" t="n">
        <v>2029</v>
      </c>
      <c r="C5" s="20" t="inlineStr">
        <is>
          <t>recambio</t>
        </is>
      </c>
      <c r="D5" s="21" t="n">
        <v>38</v>
      </c>
      <c r="E5" s="20" t="inlineStr">
        <is>
          <t>por definir</t>
        </is>
      </c>
      <c r="F5" s="31" t="n">
        <v>1</v>
      </c>
    </row>
    <row r="6" ht="15" customHeight="1" s="16">
      <c r="A6" s="20" t="inlineStr">
        <is>
          <t>AR01</t>
        </is>
      </c>
      <c r="B6" s="25" t="n">
        <v>2027</v>
      </c>
      <c r="C6" s="20" t="inlineStr">
        <is>
          <t>nueva</t>
        </is>
      </c>
      <c r="D6" s="21" t="n">
        <v>9</v>
      </c>
      <c r="E6" s="20" t="inlineStr">
        <is>
          <t>por definir</t>
        </is>
      </c>
      <c r="F6" s="31" t="n">
        <v>1</v>
      </c>
    </row>
    <row r="7" ht="15" customHeight="1" s="16">
      <c r="A7" s="20" t="inlineStr">
        <is>
          <t>AR01</t>
        </is>
      </c>
      <c r="B7" s="25" t="n">
        <v>2028</v>
      </c>
      <c r="C7" s="20" t="inlineStr">
        <is>
          <t>nueva</t>
        </is>
      </c>
      <c r="D7" s="21" t="n">
        <v>8.5</v>
      </c>
      <c r="E7" s="20" t="inlineStr">
        <is>
          <t>por definir</t>
        </is>
      </c>
      <c r="F7" s="31" t="n">
        <v>1</v>
      </c>
    </row>
    <row r="8" ht="15" customHeight="1" s="16">
      <c r="A8" s="20" t="inlineStr">
        <is>
          <t>AR01</t>
        </is>
      </c>
      <c r="B8" s="25" t="n">
        <v>2028</v>
      </c>
      <c r="C8" s="20" t="inlineStr">
        <is>
          <t>recambio</t>
        </is>
      </c>
      <c r="D8" s="21" t="n">
        <v>21.5</v>
      </c>
      <c r="E8" s="20" t="inlineStr">
        <is>
          <t>por definir</t>
        </is>
      </c>
      <c r="F8" s="31" t="n">
        <v>1</v>
      </c>
    </row>
    <row r="9" ht="15" customHeight="1" s="16">
      <c r="A9" s="20" t="inlineStr">
        <is>
          <t>AR01</t>
        </is>
      </c>
      <c r="B9" s="25" t="n">
        <v>2029</v>
      </c>
      <c r="C9" s="20" t="inlineStr">
        <is>
          <t>recambio</t>
        </is>
      </c>
      <c r="D9" s="21" t="n">
        <v>27</v>
      </c>
      <c r="E9" s="20" t="inlineStr">
        <is>
          <t>por definir</t>
        </is>
      </c>
      <c r="F9" s="31" t="n">
        <v>1</v>
      </c>
    </row>
    <row r="10" ht="15" customHeight="1" s="16">
      <c r="A10" s="20" t="inlineStr">
        <is>
          <t>AR01</t>
        </is>
      </c>
      <c r="B10" s="25" t="n">
        <v>2030</v>
      </c>
      <c r="C10" s="20" t="inlineStr">
        <is>
          <t>recambio</t>
        </is>
      </c>
      <c r="D10" s="21" t="n">
        <v>29</v>
      </c>
      <c r="E10" s="20" t="inlineStr">
        <is>
          <t>por definir</t>
        </is>
      </c>
      <c r="F10" s="31" t="n">
        <v>1</v>
      </c>
    </row>
    <row r="11" ht="15" customHeight="1" s="16">
      <c r="A11" s="20" t="inlineStr">
        <is>
          <t>AR03</t>
        </is>
      </c>
      <c r="B11" s="25" t="n">
        <v>2030</v>
      </c>
      <c r="C11" s="20" t="inlineStr">
        <is>
          <t>nueva</t>
        </is>
      </c>
      <c r="D11" s="21" t="n">
        <v>0.2</v>
      </c>
      <c r="E11" s="20" t="inlineStr">
        <is>
          <t>por definir</t>
        </is>
      </c>
      <c r="F11" s="31" t="n">
        <v>1</v>
      </c>
    </row>
    <row r="12" ht="15" customHeight="1" s="16">
      <c r="A12" s="20" t="inlineStr">
        <is>
          <t>AR03</t>
        </is>
      </c>
      <c r="B12" s="25" t="n">
        <v>2030</v>
      </c>
      <c r="C12" s="20" t="inlineStr">
        <is>
          <t>recambio</t>
        </is>
      </c>
      <c r="D12" s="21" t="n">
        <v>21.8</v>
      </c>
      <c r="E12" s="20" t="inlineStr">
        <is>
          <t>por definir</t>
        </is>
      </c>
      <c r="F12" s="31" t="n">
        <v>1</v>
      </c>
    </row>
    <row r="13" ht="15" customHeight="1" s="16">
      <c r="A13" s="20" t="inlineStr">
        <is>
          <t>AR06</t>
        </is>
      </c>
      <c r="B13" s="25" t="n">
        <v>2027</v>
      </c>
      <c r="C13" s="20" t="inlineStr">
        <is>
          <t>nueva</t>
        </is>
      </c>
      <c r="D13" s="21" t="n">
        <v>40</v>
      </c>
      <c r="E13" s="20" t="inlineStr">
        <is>
          <t>por definir</t>
        </is>
      </c>
      <c r="F13" s="31" t="n">
        <v>1</v>
      </c>
    </row>
    <row r="14" ht="15" customHeight="1" s="16">
      <c r="A14" s="20" t="inlineStr">
        <is>
          <t>AR06</t>
        </is>
      </c>
      <c r="B14" s="25" t="n">
        <v>2028</v>
      </c>
      <c r="C14" s="20" t="inlineStr">
        <is>
          <t>nueva</t>
        </is>
      </c>
      <c r="D14" s="21" t="n">
        <v>30</v>
      </c>
      <c r="E14" s="20" t="inlineStr">
        <is>
          <t>por definir</t>
        </is>
      </c>
      <c r="F14" s="31" t="n">
        <v>1</v>
      </c>
    </row>
    <row r="15" ht="15" customHeight="1" s="16">
      <c r="A15" s="20" t="n"/>
      <c r="B15" s="25" t="n"/>
      <c r="C15" s="20" t="n"/>
      <c r="D15" s="21" t="n"/>
      <c r="E15" s="20" t="n"/>
      <c r="F15" s="31" t="n"/>
    </row>
    <row r="16" ht="15" customHeight="1" s="16">
      <c r="A16" s="20" t="n"/>
      <c r="B16" s="25" t="n"/>
      <c r="C16" s="20" t="n"/>
      <c r="D16" s="21" t="n"/>
      <c r="E16" s="20" t="n"/>
      <c r="F16" s="31" t="n"/>
    </row>
  </sheetData>
  <dataValidations count="3">
    <dataValidation sqref="A2:A500" showDropDown="0" showInputMessage="0" showErrorMessage="0" allowBlank="0" error="ID invalido" type="list" errorStyle="stop" operator="between">
      <formula1>Campos!$A$2:$A$200</formula1>
      <formula2>0</formula2>
    </dataValidation>
    <dataValidation sqref="C2:C500" showDropDown="0" showInputMessage="0" showErrorMessage="0" allowBlank="0" type="list" errorStyle="stop" operator="between">
      <formula1>"nueva,recambio"</formula1>
      <formula2>0</formula2>
    </dataValidation>
    <dataValidation sqref="E2:E500" showDropDown="0" showInputMessage="0" showErrorMessage="0" allowBlank="0" type="list" errorStyle="stop" operator="between">
      <formula1>"por definir,Tafi,Slender,Naike,Moya,Pampa"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P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5" customWidth="1" style="15" min="1" max="1"/>
    <col width="9" customWidth="1" style="15" min="2" max="16"/>
  </cols>
  <sheetData>
    <row r="1" ht="15" customHeight="1" s="16">
      <c r="A1" s="19" t="inlineStr">
        <is>
          <t>variedad</t>
        </is>
      </c>
      <c r="B1" s="19" t="inlineStr">
        <is>
          <t>año_1</t>
        </is>
      </c>
      <c r="C1" s="19" t="inlineStr">
        <is>
          <t>año_2</t>
        </is>
      </c>
      <c r="D1" s="19" t="inlineStr">
        <is>
          <t>año_3</t>
        </is>
      </c>
      <c r="E1" s="19" t="inlineStr">
        <is>
          <t>año_4</t>
        </is>
      </c>
      <c r="F1" s="19" t="inlineStr">
        <is>
          <t>año_5</t>
        </is>
      </c>
      <c r="G1" s="19" t="inlineStr">
        <is>
          <t>año_6</t>
        </is>
      </c>
      <c r="H1" s="19" t="inlineStr">
        <is>
          <t>año_7</t>
        </is>
      </c>
      <c r="I1" s="19" t="inlineStr">
        <is>
          <t>año_8</t>
        </is>
      </c>
      <c r="J1" s="19" t="inlineStr">
        <is>
          <t>año_9</t>
        </is>
      </c>
      <c r="K1" s="19" t="inlineStr">
        <is>
          <t>año_10</t>
        </is>
      </c>
      <c r="L1" s="19" t="inlineStr">
        <is>
          <t>año_11</t>
        </is>
      </c>
      <c r="M1" s="19" t="inlineStr">
        <is>
          <t>año_12</t>
        </is>
      </c>
      <c r="N1" s="19" t="inlineStr">
        <is>
          <t>año_13</t>
        </is>
      </c>
      <c r="O1" s="19" t="inlineStr">
        <is>
          <t>año_14</t>
        </is>
      </c>
      <c r="P1" s="19" t="inlineStr">
        <is>
          <t>año_15</t>
        </is>
      </c>
    </row>
    <row r="2" ht="15" customHeight="1" s="16">
      <c r="A2" s="20" t="inlineStr">
        <is>
          <t>por definir</t>
        </is>
      </c>
      <c r="B2" s="32" t="n">
        <v>500</v>
      </c>
      <c r="C2" s="32" t="n">
        <v>3000</v>
      </c>
      <c r="D2" s="32" t="n">
        <v>9000</v>
      </c>
      <c r="E2" s="32" t="n">
        <v>17800</v>
      </c>
      <c r="F2" s="32" t="n">
        <v>17800</v>
      </c>
      <c r="G2" s="32" t="n">
        <v>17800</v>
      </c>
      <c r="H2" s="32" t="n">
        <v>17800</v>
      </c>
      <c r="I2" s="32" t="n">
        <v>17800</v>
      </c>
      <c r="J2" s="32" t="n">
        <v>17800</v>
      </c>
      <c r="K2" s="32" t="n">
        <v>15500</v>
      </c>
      <c r="L2" s="32" t="n">
        <v>13500</v>
      </c>
      <c r="M2" s="32" t="n">
        <v>11500</v>
      </c>
      <c r="N2" s="32" t="n">
        <v>9500</v>
      </c>
      <c r="O2" s="32" t="n">
        <v>7500</v>
      </c>
      <c r="P2" s="32" t="n">
        <v>5500</v>
      </c>
    </row>
    <row r="3" ht="15" customHeight="1" s="16">
      <c r="A3" s="20" t="inlineStr">
        <is>
          <t>Tafi</t>
        </is>
      </c>
      <c r="B3" s="32" t="n">
        <v>500</v>
      </c>
      <c r="C3" s="32" t="n">
        <v>3000</v>
      </c>
      <c r="D3" s="32" t="n">
        <v>9000</v>
      </c>
      <c r="E3" s="32" t="n">
        <v>17800</v>
      </c>
      <c r="F3" s="32" t="n">
        <v>17800</v>
      </c>
      <c r="G3" s="32" t="n">
        <v>17800</v>
      </c>
      <c r="H3" s="32" t="n">
        <v>17800</v>
      </c>
      <c r="I3" s="32" t="n">
        <v>17800</v>
      </c>
      <c r="J3" s="32" t="n">
        <v>17800</v>
      </c>
      <c r="K3" s="32" t="n">
        <v>15500</v>
      </c>
      <c r="L3" s="32" t="n">
        <v>13500</v>
      </c>
      <c r="M3" s="32" t="n">
        <v>11500</v>
      </c>
      <c r="N3" s="32" t="n">
        <v>9500</v>
      </c>
      <c r="O3" s="32" t="n">
        <v>7500</v>
      </c>
      <c r="P3" s="32" t="n">
        <v>5500</v>
      </c>
    </row>
    <row r="4" ht="15" customHeight="1" s="16">
      <c r="A4" s="20" t="inlineStr">
        <is>
          <t>Slender</t>
        </is>
      </c>
      <c r="B4" s="32" t="n">
        <v>500</v>
      </c>
      <c r="C4" s="32" t="n">
        <v>3000</v>
      </c>
      <c r="D4" s="32" t="n">
        <v>9000</v>
      </c>
      <c r="E4" s="32" t="n">
        <v>17800</v>
      </c>
      <c r="F4" s="32" t="n">
        <v>17800</v>
      </c>
      <c r="G4" s="32" t="n">
        <v>17800</v>
      </c>
      <c r="H4" s="32" t="n">
        <v>17800</v>
      </c>
      <c r="I4" s="32" t="n">
        <v>17800</v>
      </c>
      <c r="J4" s="32" t="n">
        <v>17800</v>
      </c>
      <c r="K4" s="32" t="n">
        <v>15500</v>
      </c>
      <c r="L4" s="32" t="n">
        <v>13500</v>
      </c>
      <c r="M4" s="32" t="n">
        <v>11500</v>
      </c>
      <c r="N4" s="32" t="n">
        <v>9500</v>
      </c>
      <c r="O4" s="32" t="n">
        <v>7500</v>
      </c>
      <c r="P4" s="32" t="n">
        <v>5500</v>
      </c>
    </row>
    <row r="5" ht="15" customHeight="1" s="16">
      <c r="A5" s="20" t="inlineStr">
        <is>
          <t>Naike</t>
        </is>
      </c>
      <c r="B5" s="32" t="n">
        <v>500</v>
      </c>
      <c r="C5" s="32" t="n">
        <v>3000</v>
      </c>
      <c r="D5" s="32" t="n">
        <v>9000</v>
      </c>
      <c r="E5" s="32" t="n">
        <v>17800</v>
      </c>
      <c r="F5" s="32" t="n">
        <v>17800</v>
      </c>
      <c r="G5" s="32" t="n">
        <v>17800</v>
      </c>
      <c r="H5" s="32" t="n">
        <v>17800</v>
      </c>
      <c r="I5" s="32" t="n">
        <v>17800</v>
      </c>
      <c r="J5" s="32" t="n">
        <v>17800</v>
      </c>
      <c r="K5" s="32" t="n">
        <v>15500</v>
      </c>
      <c r="L5" s="32" t="n">
        <v>13500</v>
      </c>
      <c r="M5" s="32" t="n">
        <v>11500</v>
      </c>
      <c r="N5" s="32" t="n">
        <v>9500</v>
      </c>
      <c r="O5" s="32" t="n">
        <v>7500</v>
      </c>
      <c r="P5" s="32" t="n">
        <v>5500</v>
      </c>
    </row>
    <row r="6" ht="15" customHeight="1" s="16">
      <c r="A6" s="20" t="inlineStr">
        <is>
          <t>Moya</t>
        </is>
      </c>
      <c r="B6" s="32" t="n">
        <v>500</v>
      </c>
      <c r="C6" s="32" t="n">
        <v>3000</v>
      </c>
      <c r="D6" s="32" t="n">
        <v>9000</v>
      </c>
      <c r="E6" s="32" t="n">
        <v>17800</v>
      </c>
      <c r="F6" s="32" t="n">
        <v>17800</v>
      </c>
      <c r="G6" s="32" t="n">
        <v>17800</v>
      </c>
      <c r="H6" s="32" t="n">
        <v>17800</v>
      </c>
      <c r="I6" s="32" t="n">
        <v>17800</v>
      </c>
      <c r="J6" s="32" t="n">
        <v>17800</v>
      </c>
      <c r="K6" s="32" t="n">
        <v>15500</v>
      </c>
      <c r="L6" s="32" t="n">
        <v>13500</v>
      </c>
      <c r="M6" s="32" t="n">
        <v>11500</v>
      </c>
      <c r="N6" s="32" t="n">
        <v>9500</v>
      </c>
      <c r="O6" s="32" t="n">
        <v>7500</v>
      </c>
      <c r="P6" s="32" t="n">
        <v>5500</v>
      </c>
    </row>
    <row r="7" ht="15" customHeight="1" s="16">
      <c r="A7" s="20" t="inlineStr">
        <is>
          <t>Pampa</t>
        </is>
      </c>
      <c r="B7" s="32" t="n">
        <v>500</v>
      </c>
      <c r="C7" s="32" t="n">
        <v>3000</v>
      </c>
      <c r="D7" s="32" t="n">
        <v>9000</v>
      </c>
      <c r="E7" s="32" t="n">
        <v>17800</v>
      </c>
      <c r="F7" s="32" t="n">
        <v>17800</v>
      </c>
      <c r="G7" s="32" t="n">
        <v>17800</v>
      </c>
      <c r="H7" s="32" t="n">
        <v>17800</v>
      </c>
      <c r="I7" s="32" t="n">
        <v>17800</v>
      </c>
      <c r="J7" s="32" t="n">
        <v>17800</v>
      </c>
      <c r="K7" s="32" t="n">
        <v>15500</v>
      </c>
      <c r="L7" s="32" t="n">
        <v>13500</v>
      </c>
      <c r="M7" s="32" t="n">
        <v>11500</v>
      </c>
      <c r="N7" s="32" t="n">
        <v>9500</v>
      </c>
      <c r="O7" s="32" t="n">
        <v>7500</v>
      </c>
      <c r="P7" s="32" t="n">
        <v>5500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2026-04-21T18:33:39Z</dcterms:created>
  <dcterms:modified xmlns:dcterms="http://purl.org/dc/terms/" xmlns:xsi="http://www.w3.org/2001/XMLSchema-instance" xsi:type="dcterms:W3CDTF">2026-04-24T16:42:53Z</dcterms:modified>
  <cp:lastModifiedBy>sbaya</cp:lastModifiedBy>
  <cp:revision>0</cp:revision>
</cp:coreProperties>
</file>